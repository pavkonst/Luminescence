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TL κλασικό\"/>
    </mc:Choice>
  </mc:AlternateContent>
  <xr:revisionPtr revIDLastSave="0" documentId="8_{17FC0087-FBC2-42E1-BD51-EE539529B216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TL" sheetId="1" r:id="rId1"/>
    <sheet name="F(T,E)" sheetId="2" r:id="rId2"/>
  </sheets>
  <functionGroups builtInGroupCount="19"/>
  <definedNames>
    <definedName name="solver_adj" localSheetId="0" hidden="1">TL!$J$17:$Q$17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9999</definedName>
    <definedName name="solver_lhs1" localSheetId="0" hidden="1">TL!$AA$16</definedName>
    <definedName name="solver_lhs10" localSheetId="0" hidden="1">TL!$M$17</definedName>
    <definedName name="solver_lhs11" localSheetId="0" hidden="1">TL!$L$14</definedName>
    <definedName name="solver_lhs12" localSheetId="0" hidden="1">TL!$N$14</definedName>
    <definedName name="solver_lhs13" localSheetId="0" hidden="1">TL!$N$14</definedName>
    <definedName name="solver_lhs14" localSheetId="0" hidden="1">TL!$N$14</definedName>
    <definedName name="solver_lhs15" localSheetId="0" hidden="1">TL!$N$14</definedName>
    <definedName name="solver_lhs16" localSheetId="0" hidden="1">TL!$N$14</definedName>
    <definedName name="solver_lhs17" localSheetId="0" hidden="1">TL!$N$14</definedName>
    <definedName name="solver_lhs18" localSheetId="0" hidden="1">TL!$N$14</definedName>
    <definedName name="solver_lhs19" localSheetId="0" hidden="1">TL!$N$14</definedName>
    <definedName name="solver_lhs2" localSheetId="0" hidden="1">TL!$J$17:$Q$17</definedName>
    <definedName name="solver_lhs20" localSheetId="0" hidden="1">TL!$N$14</definedName>
    <definedName name="solver_lhs21" localSheetId="0" hidden="1">TL!$N$14</definedName>
    <definedName name="solver_lhs22" localSheetId="0" hidden="1">TL!$N$14</definedName>
    <definedName name="solver_lhs23" localSheetId="0" hidden="1">TL!$N$14</definedName>
    <definedName name="solver_lhs24" localSheetId="0" hidden="1">TL!$N$14</definedName>
    <definedName name="solver_lhs25" localSheetId="0" hidden="1">TL!$N$14</definedName>
    <definedName name="solver_lhs26" localSheetId="0" hidden="1">TL!$N$14</definedName>
    <definedName name="solver_lhs27" localSheetId="0" hidden="1">TL!$N$14</definedName>
    <definedName name="solver_lhs28" localSheetId="0" hidden="1">TL!$N$14</definedName>
    <definedName name="solver_lhs29" localSheetId="0" hidden="1">TL!$N$14</definedName>
    <definedName name="solver_lhs3" localSheetId="0" hidden="1">TL!$J$17:$Q$17</definedName>
    <definedName name="solver_lhs30" localSheetId="0" hidden="1">TL!$N$14</definedName>
    <definedName name="solver_lhs4" localSheetId="0" hidden="1">TL!$K$16</definedName>
    <definedName name="solver_lhs5" localSheetId="0" hidden="1">TL!$L$16</definedName>
    <definedName name="solver_lhs6" localSheetId="0" hidden="1">TL!$M$16</definedName>
    <definedName name="solver_lhs7" localSheetId="0" hidden="1">TL!$Q$16</definedName>
    <definedName name="solver_lhs8" localSheetId="0" hidden="1">TL!$M$16</definedName>
    <definedName name="solver_lhs9" localSheetId="0" hidden="1">TL!$N$17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7</definedName>
    <definedName name="solver_nwt" localSheetId="0" hidden="1">1</definedName>
    <definedName name="solver_opt" localSheetId="0" hidden="1">TL!$J$24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3</definedName>
    <definedName name="solver_rel29" localSheetId="0" hidden="1">3</definedName>
    <definedName name="solver_rel3" localSheetId="0" hidden="1">3</definedName>
    <definedName name="solver_rel30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TL!$AA$16</definedName>
    <definedName name="solver_rhs10" localSheetId="0" hidden="1">0.00001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1</definedName>
    <definedName name="solver_rhs20" localSheetId="0" hidden="1">0</definedName>
    <definedName name="solver_rhs21" localSheetId="0" hidden="1">0</definedName>
    <definedName name="solver_rhs22" localSheetId="0" hidden="1">0</definedName>
    <definedName name="solver_rhs23" localSheetId="0" hidden="1">0</definedName>
    <definedName name="solver_rhs24" localSheetId="0" hidden="1">0</definedName>
    <definedName name="solver_rhs25" localSheetId="0" hidden="1">0</definedName>
    <definedName name="solver_rhs26" localSheetId="0" hidden="1">0</definedName>
    <definedName name="solver_rhs27" localSheetId="0" hidden="1">0</definedName>
    <definedName name="solver_rhs28" localSheetId="0" hidden="1">0</definedName>
    <definedName name="solver_rhs29" localSheetId="0" hidden="1">0</definedName>
    <definedName name="solver_rhs3" localSheetId="0" hidden="1">0.00001</definedName>
    <definedName name="solver_rhs30" localSheetId="0" hidden="1">0</definedName>
    <definedName name="solver_rhs4" localSheetId="0" hidden="1">TL!$V$16</definedName>
    <definedName name="solver_rhs5" localSheetId="0" hidden="1">TL!$W$16</definedName>
    <definedName name="solver_rhs6" localSheetId="0" hidden="1">TL!$X$16</definedName>
    <definedName name="solver_rhs7" localSheetId="0" hidden="1">TL!$AB$16</definedName>
    <definedName name="solver_rhs8" localSheetId="0" hidden="1">0.3</definedName>
    <definedName name="solver_rhs9" localSheetId="0" hidden="1">0.00001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999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0" i="1" l="1"/>
  <c r="L20" i="1"/>
  <c r="M20" i="1"/>
  <c r="N20" i="1"/>
  <c r="O20" i="1"/>
  <c r="P20" i="1"/>
  <c r="Q20" i="1"/>
  <c r="R20" i="1"/>
  <c r="S20" i="1"/>
  <c r="J20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35" i="1"/>
  <c r="AB16" i="1"/>
  <c r="AA16" i="1"/>
  <c r="W16" i="1"/>
  <c r="X16" i="1"/>
  <c r="Y16" i="1"/>
  <c r="Z16" i="1"/>
  <c r="V16" i="1"/>
  <c r="F9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15" i="2"/>
  <c r="D228" i="2"/>
  <c r="D244" i="2"/>
  <c r="D260" i="2"/>
  <c r="D276" i="2"/>
  <c r="D292" i="2"/>
  <c r="D308" i="2"/>
  <c r="D324" i="2"/>
  <c r="D340" i="2"/>
  <c r="D356" i="2"/>
  <c r="G10" i="2"/>
  <c r="H10" i="2"/>
  <c r="I10" i="2"/>
  <c r="J10" i="2"/>
  <c r="K10" i="2"/>
  <c r="L10" i="2"/>
  <c r="M10" i="2"/>
  <c r="N10" i="2"/>
  <c r="O10" i="2"/>
  <c r="F10" i="2"/>
  <c r="G9" i="2"/>
  <c r="H9" i="2"/>
  <c r="I9" i="2"/>
  <c r="J9" i="2"/>
  <c r="K9" i="2"/>
  <c r="L9" i="2"/>
  <c r="M9" i="2"/>
  <c r="N9" i="2"/>
  <c r="O9" i="2"/>
  <c r="C8" i="2"/>
  <c r="E29" i="1"/>
  <c r="G29" i="1"/>
  <c r="F29" i="1"/>
  <c r="H29" i="1"/>
  <c r="I29" i="1"/>
  <c r="J29" i="1"/>
  <c r="K29" i="1"/>
  <c r="L29" i="1"/>
  <c r="M29" i="1"/>
  <c r="N29" i="1"/>
  <c r="D36" i="1"/>
  <c r="D16" i="2" s="1"/>
  <c r="D37" i="1"/>
  <c r="D17" i="2" s="1"/>
  <c r="D38" i="1"/>
  <c r="D18" i="2" s="1"/>
  <c r="D39" i="1"/>
  <c r="D19" i="2" s="1"/>
  <c r="D40" i="1"/>
  <c r="D20" i="2" s="1"/>
  <c r="D41" i="1"/>
  <c r="D21" i="2" s="1"/>
  <c r="D42" i="1"/>
  <c r="D22" i="2" s="1"/>
  <c r="D43" i="1"/>
  <c r="D23" i="2" s="1"/>
  <c r="D44" i="1"/>
  <c r="D24" i="2" s="1"/>
  <c r="D45" i="1"/>
  <c r="D25" i="2" s="1"/>
  <c r="D46" i="1"/>
  <c r="D26" i="2" s="1"/>
  <c r="D47" i="1"/>
  <c r="D27" i="2" s="1"/>
  <c r="D48" i="1"/>
  <c r="D28" i="2" s="1"/>
  <c r="D49" i="1"/>
  <c r="D29" i="2" s="1"/>
  <c r="D50" i="1"/>
  <c r="D30" i="2" s="1"/>
  <c r="D51" i="1"/>
  <c r="D31" i="2" s="1"/>
  <c r="D52" i="1"/>
  <c r="D32" i="2" s="1"/>
  <c r="D53" i="1"/>
  <c r="D33" i="2" s="1"/>
  <c r="D54" i="1"/>
  <c r="D34" i="2" s="1"/>
  <c r="D55" i="1"/>
  <c r="D35" i="2" s="1"/>
  <c r="D56" i="1"/>
  <c r="D36" i="2" s="1"/>
  <c r="D57" i="1"/>
  <c r="D37" i="2" s="1"/>
  <c r="D58" i="1"/>
  <c r="D38" i="2" s="1"/>
  <c r="D59" i="1"/>
  <c r="D39" i="2" s="1"/>
  <c r="D60" i="1"/>
  <c r="D40" i="2" s="1"/>
  <c r="D61" i="1"/>
  <c r="D41" i="2" s="1"/>
  <c r="D62" i="1"/>
  <c r="D42" i="2" s="1"/>
  <c r="D63" i="1"/>
  <c r="D43" i="2" s="1"/>
  <c r="D64" i="1"/>
  <c r="D44" i="2" s="1"/>
  <c r="D65" i="1"/>
  <c r="D45" i="2" s="1"/>
  <c r="D66" i="1"/>
  <c r="D46" i="2" s="1"/>
  <c r="D67" i="1"/>
  <c r="D47" i="2" s="1"/>
  <c r="D68" i="1"/>
  <c r="D48" i="2" s="1"/>
  <c r="D69" i="1"/>
  <c r="D49" i="2" s="1"/>
  <c r="D70" i="1"/>
  <c r="D50" i="2" s="1"/>
  <c r="D71" i="1"/>
  <c r="D51" i="2" s="1"/>
  <c r="D72" i="1"/>
  <c r="D52" i="2" s="1"/>
  <c r="D73" i="1"/>
  <c r="D53" i="2" s="1"/>
  <c r="D74" i="1"/>
  <c r="D54" i="2" s="1"/>
  <c r="D75" i="1"/>
  <c r="D55" i="2" s="1"/>
  <c r="D76" i="1"/>
  <c r="D56" i="2" s="1"/>
  <c r="D77" i="1"/>
  <c r="D57" i="2" s="1"/>
  <c r="D78" i="1"/>
  <c r="D58" i="2" s="1"/>
  <c r="D79" i="1"/>
  <c r="D59" i="2" s="1"/>
  <c r="D80" i="1"/>
  <c r="D60" i="2" s="1"/>
  <c r="D81" i="1"/>
  <c r="D61" i="2" s="1"/>
  <c r="D82" i="1"/>
  <c r="D62" i="2" s="1"/>
  <c r="D83" i="1"/>
  <c r="D63" i="2" s="1"/>
  <c r="D84" i="1"/>
  <c r="D64" i="2" s="1"/>
  <c r="D85" i="1"/>
  <c r="D65" i="2" s="1"/>
  <c r="D86" i="1"/>
  <c r="D66" i="2" s="1"/>
  <c r="D87" i="1"/>
  <c r="D67" i="2" s="1"/>
  <c r="D88" i="1"/>
  <c r="D68" i="2" s="1"/>
  <c r="D89" i="1"/>
  <c r="D69" i="2" s="1"/>
  <c r="D90" i="1"/>
  <c r="D70" i="2" s="1"/>
  <c r="D91" i="1"/>
  <c r="D71" i="2" s="1"/>
  <c r="D92" i="1"/>
  <c r="D72" i="2" s="1"/>
  <c r="D93" i="1"/>
  <c r="D73" i="2" s="1"/>
  <c r="D94" i="1"/>
  <c r="D74" i="2" s="1"/>
  <c r="D95" i="1"/>
  <c r="D75" i="2" s="1"/>
  <c r="D96" i="1"/>
  <c r="D76" i="2" s="1"/>
  <c r="D97" i="1"/>
  <c r="D77" i="2" s="1"/>
  <c r="D98" i="1"/>
  <c r="D78" i="2" s="1"/>
  <c r="D99" i="1"/>
  <c r="D79" i="2" s="1"/>
  <c r="D100" i="1"/>
  <c r="D80" i="2" s="1"/>
  <c r="D101" i="1"/>
  <c r="D81" i="2" s="1"/>
  <c r="D102" i="1"/>
  <c r="D82" i="2" s="1"/>
  <c r="D103" i="1"/>
  <c r="D83" i="2" s="1"/>
  <c r="D104" i="1"/>
  <c r="D84" i="2" s="1"/>
  <c r="D105" i="1"/>
  <c r="D85" i="2" s="1"/>
  <c r="D106" i="1"/>
  <c r="D86" i="2" s="1"/>
  <c r="D107" i="1"/>
  <c r="D87" i="2" s="1"/>
  <c r="D108" i="1"/>
  <c r="D88" i="2" s="1"/>
  <c r="D109" i="1"/>
  <c r="D89" i="2" s="1"/>
  <c r="D110" i="1"/>
  <c r="D90" i="2" s="1"/>
  <c r="D111" i="1"/>
  <c r="D91" i="2" s="1"/>
  <c r="D112" i="1"/>
  <c r="D92" i="2" s="1"/>
  <c r="D113" i="1"/>
  <c r="D93" i="2" s="1"/>
  <c r="D114" i="1"/>
  <c r="D94" i="2" s="1"/>
  <c r="D115" i="1"/>
  <c r="D95" i="2" s="1"/>
  <c r="D116" i="1"/>
  <c r="D96" i="2" s="1"/>
  <c r="D117" i="1"/>
  <c r="D97" i="2" s="1"/>
  <c r="D118" i="1"/>
  <c r="D98" i="2" s="1"/>
  <c r="D119" i="1"/>
  <c r="D99" i="2" s="1"/>
  <c r="D120" i="1"/>
  <c r="D100" i="2" s="1"/>
  <c r="D121" i="1"/>
  <c r="D101" i="2" s="1"/>
  <c r="D122" i="1"/>
  <c r="D102" i="2" s="1"/>
  <c r="D123" i="1"/>
  <c r="D103" i="2" s="1"/>
  <c r="D124" i="1"/>
  <c r="D104" i="2" s="1"/>
  <c r="D125" i="1"/>
  <c r="D105" i="2" s="1"/>
  <c r="D126" i="1"/>
  <c r="D106" i="2" s="1"/>
  <c r="D127" i="1"/>
  <c r="D107" i="2" s="1"/>
  <c r="D128" i="1"/>
  <c r="D108" i="2" s="1"/>
  <c r="D129" i="1"/>
  <c r="D109" i="2" s="1"/>
  <c r="D130" i="1"/>
  <c r="D110" i="2" s="1"/>
  <c r="D131" i="1"/>
  <c r="D111" i="2" s="1"/>
  <c r="D132" i="1"/>
  <c r="D112" i="2" s="1"/>
  <c r="D133" i="1"/>
  <c r="D113" i="2" s="1"/>
  <c r="D134" i="1"/>
  <c r="D114" i="2" s="1"/>
  <c r="D135" i="1"/>
  <c r="D115" i="2" s="1"/>
  <c r="D136" i="1"/>
  <c r="D116" i="2" s="1"/>
  <c r="D137" i="1"/>
  <c r="D117" i="2" s="1"/>
  <c r="D138" i="1"/>
  <c r="D118" i="2" s="1"/>
  <c r="D139" i="1"/>
  <c r="D119" i="2" s="1"/>
  <c r="D140" i="1"/>
  <c r="D120" i="2" s="1"/>
  <c r="D141" i="1"/>
  <c r="D121" i="2" s="1"/>
  <c r="D142" i="1"/>
  <c r="D122" i="2" s="1"/>
  <c r="D143" i="1"/>
  <c r="D123" i="2" s="1"/>
  <c r="D144" i="1"/>
  <c r="D124" i="2" s="1"/>
  <c r="D145" i="1"/>
  <c r="D125" i="2" s="1"/>
  <c r="D146" i="1"/>
  <c r="D126" i="2" s="1"/>
  <c r="D147" i="1"/>
  <c r="D127" i="2" s="1"/>
  <c r="D148" i="1"/>
  <c r="D128" i="2" s="1"/>
  <c r="D149" i="1"/>
  <c r="D129" i="2" s="1"/>
  <c r="D150" i="1"/>
  <c r="D130" i="2" s="1"/>
  <c r="D151" i="1"/>
  <c r="D131" i="2" s="1"/>
  <c r="D152" i="1"/>
  <c r="D132" i="2" s="1"/>
  <c r="D153" i="1"/>
  <c r="D133" i="2" s="1"/>
  <c r="D154" i="1"/>
  <c r="D134" i="2" s="1"/>
  <c r="D155" i="1"/>
  <c r="D135" i="2" s="1"/>
  <c r="D156" i="1"/>
  <c r="D136" i="2" s="1"/>
  <c r="D157" i="1"/>
  <c r="D137" i="2" s="1"/>
  <c r="D158" i="1"/>
  <c r="D138" i="2" s="1"/>
  <c r="D159" i="1"/>
  <c r="D139" i="2" s="1"/>
  <c r="D160" i="1"/>
  <c r="D140" i="2" s="1"/>
  <c r="D161" i="1"/>
  <c r="D141" i="2" s="1"/>
  <c r="D162" i="1"/>
  <c r="D142" i="2" s="1"/>
  <c r="D163" i="1"/>
  <c r="D143" i="2" s="1"/>
  <c r="D164" i="1"/>
  <c r="D144" i="2" s="1"/>
  <c r="D165" i="1"/>
  <c r="D145" i="2" s="1"/>
  <c r="D166" i="1"/>
  <c r="D146" i="2" s="1"/>
  <c r="D167" i="1"/>
  <c r="D147" i="2" s="1"/>
  <c r="D168" i="1"/>
  <c r="D148" i="2" s="1"/>
  <c r="D169" i="1"/>
  <c r="D149" i="2" s="1"/>
  <c r="D170" i="1"/>
  <c r="D150" i="2" s="1"/>
  <c r="D171" i="1"/>
  <c r="D151" i="2" s="1"/>
  <c r="D172" i="1"/>
  <c r="D152" i="2" s="1"/>
  <c r="D173" i="1"/>
  <c r="D153" i="2" s="1"/>
  <c r="D174" i="1"/>
  <c r="D154" i="2" s="1"/>
  <c r="D175" i="1"/>
  <c r="D155" i="2" s="1"/>
  <c r="D176" i="1"/>
  <c r="D156" i="2" s="1"/>
  <c r="D177" i="1"/>
  <c r="D157" i="2" s="1"/>
  <c r="D178" i="1"/>
  <c r="D158" i="2" s="1"/>
  <c r="D179" i="1"/>
  <c r="D159" i="2" s="1"/>
  <c r="D180" i="1"/>
  <c r="D160" i="2" s="1"/>
  <c r="D181" i="1"/>
  <c r="D161" i="2" s="1"/>
  <c r="D182" i="1"/>
  <c r="D162" i="2" s="1"/>
  <c r="D183" i="1"/>
  <c r="D163" i="2" s="1"/>
  <c r="D184" i="1"/>
  <c r="D164" i="2" s="1"/>
  <c r="D185" i="1"/>
  <c r="D165" i="2" s="1"/>
  <c r="D186" i="1"/>
  <c r="D166" i="2" s="1"/>
  <c r="D187" i="1"/>
  <c r="D167" i="2" s="1"/>
  <c r="D188" i="1"/>
  <c r="D168" i="2" s="1"/>
  <c r="D189" i="1"/>
  <c r="D169" i="2" s="1"/>
  <c r="D190" i="1"/>
  <c r="D170" i="2" s="1"/>
  <c r="D191" i="1"/>
  <c r="D171" i="2" s="1"/>
  <c r="D192" i="1"/>
  <c r="D172" i="2" s="1"/>
  <c r="D193" i="1"/>
  <c r="D173" i="2" s="1"/>
  <c r="D194" i="1"/>
  <c r="D174" i="2" s="1"/>
  <c r="D195" i="1"/>
  <c r="D175" i="2" s="1"/>
  <c r="D196" i="1"/>
  <c r="D176" i="2" s="1"/>
  <c r="D197" i="1"/>
  <c r="D177" i="2" s="1"/>
  <c r="D198" i="1"/>
  <c r="D178" i="2" s="1"/>
  <c r="D199" i="1"/>
  <c r="D179" i="2" s="1"/>
  <c r="D200" i="1"/>
  <c r="D180" i="2" s="1"/>
  <c r="D201" i="1"/>
  <c r="D181" i="2" s="1"/>
  <c r="D202" i="1"/>
  <c r="D182" i="2" s="1"/>
  <c r="D203" i="1"/>
  <c r="D183" i="2" s="1"/>
  <c r="D204" i="1"/>
  <c r="D184" i="2" s="1"/>
  <c r="D205" i="1"/>
  <c r="D185" i="2" s="1"/>
  <c r="D206" i="1"/>
  <c r="D186" i="2" s="1"/>
  <c r="D207" i="1"/>
  <c r="D187" i="2" s="1"/>
  <c r="D208" i="1"/>
  <c r="D188" i="2" s="1"/>
  <c r="D209" i="1"/>
  <c r="D189" i="2" s="1"/>
  <c r="D210" i="1"/>
  <c r="D190" i="2" s="1"/>
  <c r="D211" i="1"/>
  <c r="D191" i="2" s="1"/>
  <c r="D212" i="1"/>
  <c r="D192" i="2" s="1"/>
  <c r="D213" i="1"/>
  <c r="D193" i="2" s="1"/>
  <c r="D214" i="1"/>
  <c r="D194" i="2" s="1"/>
  <c r="D215" i="1"/>
  <c r="D195" i="2" s="1"/>
  <c r="D216" i="1"/>
  <c r="D196" i="2" s="1"/>
  <c r="D217" i="1"/>
  <c r="D197" i="2" s="1"/>
  <c r="D218" i="1"/>
  <c r="D198" i="2" s="1"/>
  <c r="D219" i="1"/>
  <c r="D199" i="2" s="1"/>
  <c r="D220" i="1"/>
  <c r="D200" i="2" s="1"/>
  <c r="D221" i="1"/>
  <c r="D201" i="2" s="1"/>
  <c r="D222" i="1"/>
  <c r="D202" i="2" s="1"/>
  <c r="D223" i="1"/>
  <c r="D203" i="2" s="1"/>
  <c r="D224" i="1"/>
  <c r="D204" i="2" s="1"/>
  <c r="D225" i="1"/>
  <c r="D205" i="2" s="1"/>
  <c r="D226" i="1"/>
  <c r="D206" i="2" s="1"/>
  <c r="D227" i="1"/>
  <c r="D207" i="2" s="1"/>
  <c r="D228" i="1"/>
  <c r="D208" i="2" s="1"/>
  <c r="D229" i="1"/>
  <c r="D209" i="2" s="1"/>
  <c r="D230" i="1"/>
  <c r="D210" i="2" s="1"/>
  <c r="D231" i="1"/>
  <c r="D211" i="2" s="1"/>
  <c r="D232" i="1"/>
  <c r="D212" i="2" s="1"/>
  <c r="D233" i="1"/>
  <c r="D213" i="2" s="1"/>
  <c r="D234" i="1"/>
  <c r="D214" i="2" s="1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7" i="2"/>
  <c r="D358" i="2"/>
  <c r="D359" i="2"/>
  <c r="D360" i="2"/>
  <c r="D361" i="2"/>
  <c r="D362" i="2"/>
  <c r="D363" i="2"/>
  <c r="D364" i="2"/>
  <c r="D35" i="1"/>
  <c r="D15" i="2" s="1"/>
  <c r="M11" i="2" l="1"/>
  <c r="L32" i="1" s="1"/>
  <c r="I11" i="2"/>
  <c r="H32" i="1" s="1"/>
  <c r="I321" i="2"/>
  <c r="F15" i="2"/>
  <c r="E35" i="1" s="1"/>
  <c r="F361" i="2"/>
  <c r="F357" i="2"/>
  <c r="F353" i="2"/>
  <c r="F349" i="2"/>
  <c r="F345" i="2"/>
  <c r="F341" i="2"/>
  <c r="F337" i="2"/>
  <c r="F333" i="2"/>
  <c r="F329" i="2"/>
  <c r="F325" i="2"/>
  <c r="F321" i="2"/>
  <c r="F317" i="2"/>
  <c r="F313" i="2"/>
  <c r="F309" i="2"/>
  <c r="F305" i="2"/>
  <c r="F301" i="2"/>
  <c r="F297" i="2"/>
  <c r="F293" i="2"/>
  <c r="F289" i="2"/>
  <c r="F285" i="2"/>
  <c r="F281" i="2"/>
  <c r="F277" i="2"/>
  <c r="F273" i="2"/>
  <c r="F269" i="2"/>
  <c r="F265" i="2"/>
  <c r="F261" i="2"/>
  <c r="F257" i="2"/>
  <c r="F253" i="2"/>
  <c r="F249" i="2"/>
  <c r="F245" i="2"/>
  <c r="F241" i="2"/>
  <c r="F237" i="2"/>
  <c r="F233" i="2"/>
  <c r="F229" i="2"/>
  <c r="F225" i="2"/>
  <c r="F221" i="2"/>
  <c r="F217" i="2"/>
  <c r="F213" i="2"/>
  <c r="E233" i="1" s="1"/>
  <c r="F209" i="2"/>
  <c r="E229" i="1" s="1"/>
  <c r="F205" i="2"/>
  <c r="E225" i="1" s="1"/>
  <c r="F201" i="2"/>
  <c r="E221" i="1" s="1"/>
  <c r="F197" i="2"/>
  <c r="E217" i="1" s="1"/>
  <c r="F193" i="2"/>
  <c r="E213" i="1" s="1"/>
  <c r="F189" i="2"/>
  <c r="E209" i="1" s="1"/>
  <c r="F185" i="2"/>
  <c r="E205" i="1" s="1"/>
  <c r="F181" i="2"/>
  <c r="E201" i="1" s="1"/>
  <c r="F177" i="2"/>
  <c r="E197" i="1" s="1"/>
  <c r="F173" i="2"/>
  <c r="E193" i="1" s="1"/>
  <c r="F169" i="2"/>
  <c r="E189" i="1" s="1"/>
  <c r="F165" i="2"/>
  <c r="E185" i="1" s="1"/>
  <c r="F161" i="2"/>
  <c r="E181" i="1" s="1"/>
  <c r="F157" i="2"/>
  <c r="E177" i="1" s="1"/>
  <c r="F153" i="2"/>
  <c r="E173" i="1" s="1"/>
  <c r="F149" i="2"/>
  <c r="E169" i="1" s="1"/>
  <c r="F145" i="2"/>
  <c r="E165" i="1" s="1"/>
  <c r="F141" i="2"/>
  <c r="E161" i="1" s="1"/>
  <c r="F137" i="2"/>
  <c r="E157" i="1" s="1"/>
  <c r="F133" i="2"/>
  <c r="E153" i="1" s="1"/>
  <c r="F129" i="2"/>
  <c r="E149" i="1" s="1"/>
  <c r="F125" i="2"/>
  <c r="E145" i="1" s="1"/>
  <c r="F121" i="2"/>
  <c r="E141" i="1" s="1"/>
  <c r="F117" i="2"/>
  <c r="E137" i="1" s="1"/>
  <c r="F113" i="2"/>
  <c r="E133" i="1" s="1"/>
  <c r="F109" i="2"/>
  <c r="E129" i="1" s="1"/>
  <c r="F105" i="2"/>
  <c r="E125" i="1" s="1"/>
  <c r="F101" i="2"/>
  <c r="E121" i="1" s="1"/>
  <c r="F97" i="2"/>
  <c r="E117" i="1" s="1"/>
  <c r="F93" i="2"/>
  <c r="E113" i="1" s="1"/>
  <c r="F89" i="2"/>
  <c r="E109" i="1" s="1"/>
  <c r="F85" i="2"/>
  <c r="E105" i="1" s="1"/>
  <c r="F81" i="2"/>
  <c r="E101" i="1" s="1"/>
  <c r="F77" i="2"/>
  <c r="E97" i="1" s="1"/>
  <c r="F73" i="2"/>
  <c r="E93" i="1" s="1"/>
  <c r="F69" i="2"/>
  <c r="E89" i="1" s="1"/>
  <c r="F65" i="2"/>
  <c r="E85" i="1" s="1"/>
  <c r="F61" i="2"/>
  <c r="E81" i="1" s="1"/>
  <c r="F57" i="2"/>
  <c r="E77" i="1" s="1"/>
  <c r="F53" i="2"/>
  <c r="E73" i="1" s="1"/>
  <c r="F49" i="2"/>
  <c r="E69" i="1" s="1"/>
  <c r="F45" i="2"/>
  <c r="E65" i="1" s="1"/>
  <c r="F41" i="2"/>
  <c r="E61" i="1" s="1"/>
  <c r="F37" i="2"/>
  <c r="E57" i="1" s="1"/>
  <c r="F33" i="2"/>
  <c r="E53" i="1" s="1"/>
  <c r="F29" i="2"/>
  <c r="E49" i="1" s="1"/>
  <c r="F25" i="2"/>
  <c r="E45" i="1" s="1"/>
  <c r="F21" i="2"/>
  <c r="E41" i="1" s="1"/>
  <c r="F17" i="2"/>
  <c r="E37" i="1" s="1"/>
  <c r="G363" i="2"/>
  <c r="G359" i="2"/>
  <c r="G355" i="2"/>
  <c r="G351" i="2"/>
  <c r="G347" i="2"/>
  <c r="G343" i="2"/>
  <c r="G339" i="2"/>
  <c r="G335" i="2"/>
  <c r="G331" i="2"/>
  <c r="G327" i="2"/>
  <c r="G323" i="2"/>
  <c r="G319" i="2"/>
  <c r="G315" i="2"/>
  <c r="G311" i="2"/>
  <c r="G307" i="2"/>
  <c r="G303" i="2"/>
  <c r="G299" i="2"/>
  <c r="G295" i="2"/>
  <c r="G291" i="2"/>
  <c r="G287" i="2"/>
  <c r="G283" i="2"/>
  <c r="G279" i="2"/>
  <c r="G275" i="2"/>
  <c r="G271" i="2"/>
  <c r="G267" i="2"/>
  <c r="G263" i="2"/>
  <c r="G259" i="2"/>
  <c r="G255" i="2"/>
  <c r="G251" i="2"/>
  <c r="G247" i="2"/>
  <c r="G243" i="2"/>
  <c r="G239" i="2"/>
  <c r="G235" i="2"/>
  <c r="G231" i="2"/>
  <c r="G227" i="2"/>
  <c r="G223" i="2"/>
  <c r="G219" i="2"/>
  <c r="G215" i="2"/>
  <c r="G211" i="2"/>
  <c r="F231" i="1" s="1"/>
  <c r="G207" i="2"/>
  <c r="F227" i="1" s="1"/>
  <c r="G203" i="2"/>
  <c r="F223" i="1" s="1"/>
  <c r="G199" i="2"/>
  <c r="F219" i="1" s="1"/>
  <c r="G195" i="2"/>
  <c r="F215" i="1" s="1"/>
  <c r="G191" i="2"/>
  <c r="F211" i="1" s="1"/>
  <c r="G187" i="2"/>
  <c r="F207" i="1" s="1"/>
  <c r="G183" i="2"/>
  <c r="F203" i="1" s="1"/>
  <c r="G179" i="2"/>
  <c r="F199" i="1" s="1"/>
  <c r="G175" i="2"/>
  <c r="F195" i="1" s="1"/>
  <c r="G171" i="2"/>
  <c r="F191" i="1" s="1"/>
  <c r="G167" i="2"/>
  <c r="F187" i="1" s="1"/>
  <c r="G163" i="2"/>
  <c r="F183" i="1" s="1"/>
  <c r="G159" i="2"/>
  <c r="F179" i="1" s="1"/>
  <c r="G155" i="2"/>
  <c r="F175" i="1" s="1"/>
  <c r="G151" i="2"/>
  <c r="F171" i="1" s="1"/>
  <c r="G147" i="2"/>
  <c r="F167" i="1" s="1"/>
  <c r="G143" i="2"/>
  <c r="F163" i="1" s="1"/>
  <c r="G139" i="2"/>
  <c r="F159" i="1" s="1"/>
  <c r="G135" i="2"/>
  <c r="F155" i="1" s="1"/>
  <c r="G131" i="2"/>
  <c r="F151" i="1" s="1"/>
  <c r="G127" i="2"/>
  <c r="F147" i="1" s="1"/>
  <c r="G123" i="2"/>
  <c r="F143" i="1" s="1"/>
  <c r="G119" i="2"/>
  <c r="F139" i="1" s="1"/>
  <c r="G115" i="2"/>
  <c r="F135" i="1" s="1"/>
  <c r="G111" i="2"/>
  <c r="F131" i="1" s="1"/>
  <c r="G107" i="2"/>
  <c r="F127" i="1" s="1"/>
  <c r="G103" i="2"/>
  <c r="F123" i="1" s="1"/>
  <c r="G99" i="2"/>
  <c r="F119" i="1" s="1"/>
  <c r="G95" i="2"/>
  <c r="F115" i="1" s="1"/>
  <c r="G91" i="2"/>
  <c r="F111" i="1" s="1"/>
  <c r="G87" i="2"/>
  <c r="F107" i="1" s="1"/>
  <c r="G83" i="2"/>
  <c r="F103" i="1" s="1"/>
  <c r="G79" i="2"/>
  <c r="F99" i="1" s="1"/>
  <c r="G75" i="2"/>
  <c r="F95" i="1" s="1"/>
  <c r="G71" i="2"/>
  <c r="F91" i="1" s="1"/>
  <c r="G67" i="2"/>
  <c r="F87" i="1" s="1"/>
  <c r="G63" i="2"/>
  <c r="F83" i="1" s="1"/>
  <c r="G59" i="2"/>
  <c r="F79" i="1" s="1"/>
  <c r="G55" i="2"/>
  <c r="F75" i="1" s="1"/>
  <c r="G51" i="2"/>
  <c r="F71" i="1" s="1"/>
  <c r="G47" i="2"/>
  <c r="F67" i="1" s="1"/>
  <c r="G43" i="2"/>
  <c r="F63" i="1" s="1"/>
  <c r="G39" i="2"/>
  <c r="F59" i="1" s="1"/>
  <c r="G35" i="2"/>
  <c r="F55" i="1" s="1"/>
  <c r="G31" i="2"/>
  <c r="F51" i="1" s="1"/>
  <c r="G27" i="2"/>
  <c r="F47" i="1" s="1"/>
  <c r="G23" i="2"/>
  <c r="F43" i="1" s="1"/>
  <c r="G19" i="2"/>
  <c r="F39" i="1" s="1"/>
  <c r="H15" i="2"/>
  <c r="G35" i="1" s="1"/>
  <c r="H361" i="2"/>
  <c r="H357" i="2"/>
  <c r="H353" i="2"/>
  <c r="H349" i="2"/>
  <c r="H345" i="2"/>
  <c r="H341" i="2"/>
  <c r="H337" i="2"/>
  <c r="H333" i="2"/>
  <c r="H329" i="2"/>
  <c r="H325" i="2"/>
  <c r="H321" i="2"/>
  <c r="H317" i="2"/>
  <c r="H313" i="2"/>
  <c r="H309" i="2"/>
  <c r="H305" i="2"/>
  <c r="H301" i="2"/>
  <c r="H297" i="2"/>
  <c r="H293" i="2"/>
  <c r="H289" i="2"/>
  <c r="H285" i="2"/>
  <c r="H281" i="2"/>
  <c r="H277" i="2"/>
  <c r="H273" i="2"/>
  <c r="H269" i="2"/>
  <c r="H265" i="2"/>
  <c r="H261" i="2"/>
  <c r="H255" i="2"/>
  <c r="H247" i="2"/>
  <c r="H239" i="2"/>
  <c r="H231" i="2"/>
  <c r="H223" i="2"/>
  <c r="H215" i="2"/>
  <c r="H207" i="2"/>
  <c r="G227" i="1" s="1"/>
  <c r="H199" i="2"/>
  <c r="G219" i="1" s="1"/>
  <c r="H191" i="2"/>
  <c r="G211" i="1" s="1"/>
  <c r="H183" i="2"/>
  <c r="G203" i="1" s="1"/>
  <c r="H175" i="2"/>
  <c r="G195" i="1" s="1"/>
  <c r="H167" i="2"/>
  <c r="G187" i="1" s="1"/>
  <c r="H159" i="2"/>
  <c r="G179" i="1" s="1"/>
  <c r="H151" i="2"/>
  <c r="G171" i="1" s="1"/>
  <c r="H143" i="2"/>
  <c r="G163" i="1" s="1"/>
  <c r="H135" i="2"/>
  <c r="G155" i="1" s="1"/>
  <c r="H127" i="2"/>
  <c r="G147" i="1" s="1"/>
  <c r="H119" i="2"/>
  <c r="G139" i="1" s="1"/>
  <c r="H111" i="2"/>
  <c r="G131" i="1" s="1"/>
  <c r="H103" i="2"/>
  <c r="G123" i="1" s="1"/>
  <c r="H95" i="2"/>
  <c r="G115" i="1" s="1"/>
  <c r="H87" i="2"/>
  <c r="G107" i="1" s="1"/>
  <c r="H79" i="2"/>
  <c r="G99" i="1" s="1"/>
  <c r="H71" i="2"/>
  <c r="G91" i="1" s="1"/>
  <c r="H63" i="2"/>
  <c r="G83" i="1" s="1"/>
  <c r="H55" i="2"/>
  <c r="G75" i="1" s="1"/>
  <c r="H47" i="2"/>
  <c r="G67" i="1" s="1"/>
  <c r="H39" i="2"/>
  <c r="G59" i="1" s="1"/>
  <c r="H31" i="2"/>
  <c r="G51" i="1" s="1"/>
  <c r="H23" i="2"/>
  <c r="G43" i="1" s="1"/>
  <c r="I15" i="2"/>
  <c r="H35" i="1" s="1"/>
  <c r="I357" i="2"/>
  <c r="I349" i="2"/>
  <c r="I341" i="2"/>
  <c r="I333" i="2"/>
  <c r="I325" i="2"/>
  <c r="I317" i="2"/>
  <c r="N11" i="2"/>
  <c r="M32" i="1" s="1"/>
  <c r="J11" i="2"/>
  <c r="I32" i="1" s="1"/>
  <c r="F11" i="2"/>
  <c r="E32" i="1" s="1"/>
  <c r="F362" i="2"/>
  <c r="F358" i="2"/>
  <c r="F354" i="2"/>
  <c r="F350" i="2"/>
  <c r="F346" i="2"/>
  <c r="F342" i="2"/>
  <c r="F338" i="2"/>
  <c r="F334" i="2"/>
  <c r="F330" i="2"/>
  <c r="F326" i="2"/>
  <c r="F322" i="2"/>
  <c r="F318" i="2"/>
  <c r="F314" i="2"/>
  <c r="F310" i="2"/>
  <c r="F306" i="2"/>
  <c r="F302" i="2"/>
  <c r="F298" i="2"/>
  <c r="F294" i="2"/>
  <c r="F290" i="2"/>
  <c r="F286" i="2"/>
  <c r="F282" i="2"/>
  <c r="F278" i="2"/>
  <c r="F274" i="2"/>
  <c r="F270" i="2"/>
  <c r="F266" i="2"/>
  <c r="F262" i="2"/>
  <c r="F258" i="2"/>
  <c r="F254" i="2"/>
  <c r="F250" i="2"/>
  <c r="F246" i="2"/>
  <c r="F242" i="2"/>
  <c r="F238" i="2"/>
  <c r="F234" i="2"/>
  <c r="F230" i="2"/>
  <c r="F226" i="2"/>
  <c r="F222" i="2"/>
  <c r="F218" i="2"/>
  <c r="F214" i="2"/>
  <c r="E234" i="1" s="1"/>
  <c r="F210" i="2"/>
  <c r="E230" i="1" s="1"/>
  <c r="F206" i="2"/>
  <c r="E226" i="1" s="1"/>
  <c r="F202" i="2"/>
  <c r="E222" i="1" s="1"/>
  <c r="F198" i="2"/>
  <c r="E218" i="1" s="1"/>
  <c r="F194" i="2"/>
  <c r="E214" i="1" s="1"/>
  <c r="F190" i="2"/>
  <c r="E210" i="1" s="1"/>
  <c r="F186" i="2"/>
  <c r="E206" i="1" s="1"/>
  <c r="F182" i="2"/>
  <c r="E202" i="1" s="1"/>
  <c r="F178" i="2"/>
  <c r="E198" i="1" s="1"/>
  <c r="F174" i="2"/>
  <c r="E194" i="1" s="1"/>
  <c r="F170" i="2"/>
  <c r="E190" i="1" s="1"/>
  <c r="F166" i="2"/>
  <c r="E186" i="1" s="1"/>
  <c r="F162" i="2"/>
  <c r="E182" i="1" s="1"/>
  <c r="F158" i="2"/>
  <c r="E178" i="1" s="1"/>
  <c r="F154" i="2"/>
  <c r="E174" i="1" s="1"/>
  <c r="F150" i="2"/>
  <c r="E170" i="1" s="1"/>
  <c r="F146" i="2"/>
  <c r="E166" i="1" s="1"/>
  <c r="F142" i="2"/>
  <c r="E162" i="1" s="1"/>
  <c r="F138" i="2"/>
  <c r="E158" i="1" s="1"/>
  <c r="F134" i="2"/>
  <c r="E154" i="1" s="1"/>
  <c r="F130" i="2"/>
  <c r="E150" i="1" s="1"/>
  <c r="F126" i="2"/>
  <c r="E146" i="1" s="1"/>
  <c r="F122" i="2"/>
  <c r="E142" i="1" s="1"/>
  <c r="F118" i="2"/>
  <c r="E138" i="1" s="1"/>
  <c r="F114" i="2"/>
  <c r="E134" i="1" s="1"/>
  <c r="F110" i="2"/>
  <c r="E130" i="1" s="1"/>
  <c r="F106" i="2"/>
  <c r="E126" i="1" s="1"/>
  <c r="F102" i="2"/>
  <c r="E122" i="1" s="1"/>
  <c r="F98" i="2"/>
  <c r="E118" i="1" s="1"/>
  <c r="F94" i="2"/>
  <c r="E114" i="1" s="1"/>
  <c r="F90" i="2"/>
  <c r="E110" i="1" s="1"/>
  <c r="F86" i="2"/>
  <c r="E106" i="1" s="1"/>
  <c r="F82" i="2"/>
  <c r="E102" i="1" s="1"/>
  <c r="F78" i="2"/>
  <c r="E98" i="1" s="1"/>
  <c r="F74" i="2"/>
  <c r="E94" i="1" s="1"/>
  <c r="F70" i="2"/>
  <c r="E90" i="1" s="1"/>
  <c r="F66" i="2"/>
  <c r="E86" i="1" s="1"/>
  <c r="F62" i="2"/>
  <c r="E82" i="1" s="1"/>
  <c r="F58" i="2"/>
  <c r="E78" i="1" s="1"/>
  <c r="F54" i="2"/>
  <c r="E74" i="1" s="1"/>
  <c r="F50" i="2"/>
  <c r="E70" i="1" s="1"/>
  <c r="F46" i="2"/>
  <c r="E66" i="1" s="1"/>
  <c r="F42" i="2"/>
  <c r="E62" i="1" s="1"/>
  <c r="F38" i="2"/>
  <c r="E58" i="1" s="1"/>
  <c r="F34" i="2"/>
  <c r="E54" i="1" s="1"/>
  <c r="F30" i="2"/>
  <c r="E50" i="1" s="1"/>
  <c r="F26" i="2"/>
  <c r="E46" i="1" s="1"/>
  <c r="F22" i="2"/>
  <c r="E42" i="1" s="1"/>
  <c r="F18" i="2"/>
  <c r="E38" i="1" s="1"/>
  <c r="G364" i="2"/>
  <c r="G360" i="2"/>
  <c r="G356" i="2"/>
  <c r="G352" i="2"/>
  <c r="G348" i="2"/>
  <c r="G344" i="2"/>
  <c r="G340" i="2"/>
  <c r="G336" i="2"/>
  <c r="G332" i="2"/>
  <c r="G328" i="2"/>
  <c r="G324" i="2"/>
  <c r="G320" i="2"/>
  <c r="G316" i="2"/>
  <c r="G312" i="2"/>
  <c r="G308" i="2"/>
  <c r="G304" i="2"/>
  <c r="G300" i="2"/>
  <c r="G296" i="2"/>
  <c r="G292" i="2"/>
  <c r="G288" i="2"/>
  <c r="G284" i="2"/>
  <c r="G280" i="2"/>
  <c r="G276" i="2"/>
  <c r="G272" i="2"/>
  <c r="G268" i="2"/>
  <c r="G264" i="2"/>
  <c r="G260" i="2"/>
  <c r="G256" i="2"/>
  <c r="G252" i="2"/>
  <c r="G248" i="2"/>
  <c r="G244" i="2"/>
  <c r="G240" i="2"/>
  <c r="G236" i="2"/>
  <c r="G232" i="2"/>
  <c r="G228" i="2"/>
  <c r="G224" i="2"/>
  <c r="G220" i="2"/>
  <c r="G216" i="2"/>
  <c r="G212" i="2"/>
  <c r="F232" i="1" s="1"/>
  <c r="G208" i="2"/>
  <c r="F228" i="1" s="1"/>
  <c r="G204" i="2"/>
  <c r="F224" i="1" s="1"/>
  <c r="G200" i="2"/>
  <c r="F220" i="1" s="1"/>
  <c r="G196" i="2"/>
  <c r="F216" i="1" s="1"/>
  <c r="G192" i="2"/>
  <c r="F212" i="1" s="1"/>
  <c r="G188" i="2"/>
  <c r="F208" i="1" s="1"/>
  <c r="G184" i="2"/>
  <c r="F204" i="1" s="1"/>
  <c r="G180" i="2"/>
  <c r="F200" i="1" s="1"/>
  <c r="G176" i="2"/>
  <c r="F196" i="1" s="1"/>
  <c r="G172" i="2"/>
  <c r="F192" i="1" s="1"/>
  <c r="G168" i="2"/>
  <c r="F188" i="1" s="1"/>
  <c r="G164" i="2"/>
  <c r="F184" i="1" s="1"/>
  <c r="G160" i="2"/>
  <c r="F180" i="1" s="1"/>
  <c r="G156" i="2"/>
  <c r="F176" i="1" s="1"/>
  <c r="G152" i="2"/>
  <c r="F172" i="1" s="1"/>
  <c r="G148" i="2"/>
  <c r="F168" i="1" s="1"/>
  <c r="G144" i="2"/>
  <c r="F164" i="1" s="1"/>
  <c r="G140" i="2"/>
  <c r="F160" i="1" s="1"/>
  <c r="G136" i="2"/>
  <c r="F156" i="1" s="1"/>
  <c r="G132" i="2"/>
  <c r="F152" i="1" s="1"/>
  <c r="G128" i="2"/>
  <c r="F148" i="1" s="1"/>
  <c r="G124" i="2"/>
  <c r="F144" i="1" s="1"/>
  <c r="G120" i="2"/>
  <c r="F140" i="1" s="1"/>
  <c r="G116" i="2"/>
  <c r="F136" i="1" s="1"/>
  <c r="G112" i="2"/>
  <c r="F132" i="1" s="1"/>
  <c r="G108" i="2"/>
  <c r="F128" i="1" s="1"/>
  <c r="G104" i="2"/>
  <c r="F124" i="1" s="1"/>
  <c r="G100" i="2"/>
  <c r="F120" i="1" s="1"/>
  <c r="G96" i="2"/>
  <c r="F116" i="1" s="1"/>
  <c r="G92" i="2"/>
  <c r="F112" i="1" s="1"/>
  <c r="G88" i="2"/>
  <c r="F108" i="1" s="1"/>
  <c r="G84" i="2"/>
  <c r="F104" i="1" s="1"/>
  <c r="G80" i="2"/>
  <c r="F100" i="1" s="1"/>
  <c r="G76" i="2"/>
  <c r="F96" i="1" s="1"/>
  <c r="G72" i="2"/>
  <c r="F92" i="1" s="1"/>
  <c r="G68" i="2"/>
  <c r="F88" i="1" s="1"/>
  <c r="G64" i="2"/>
  <c r="F84" i="1" s="1"/>
  <c r="G60" i="2"/>
  <c r="F80" i="1" s="1"/>
  <c r="G56" i="2"/>
  <c r="F76" i="1" s="1"/>
  <c r="G52" i="2"/>
  <c r="F72" i="1" s="1"/>
  <c r="G48" i="2"/>
  <c r="F68" i="1" s="1"/>
  <c r="G44" i="2"/>
  <c r="F64" i="1" s="1"/>
  <c r="G40" i="2"/>
  <c r="F60" i="1" s="1"/>
  <c r="G36" i="2"/>
  <c r="F56" i="1" s="1"/>
  <c r="G32" i="2"/>
  <c r="F52" i="1" s="1"/>
  <c r="G28" i="2"/>
  <c r="F48" i="1" s="1"/>
  <c r="G24" i="2"/>
  <c r="F44" i="1" s="1"/>
  <c r="G20" i="2"/>
  <c r="F40" i="1" s="1"/>
  <c r="G16" i="2"/>
  <c r="F36" i="1" s="1"/>
  <c r="H362" i="2"/>
  <c r="H358" i="2"/>
  <c r="H354" i="2"/>
  <c r="H350" i="2"/>
  <c r="H346" i="2"/>
  <c r="H342" i="2"/>
  <c r="H338" i="2"/>
  <c r="H334" i="2"/>
  <c r="H330" i="2"/>
  <c r="H326" i="2"/>
  <c r="H322" i="2"/>
  <c r="H318" i="2"/>
  <c r="H314" i="2"/>
  <c r="H310" i="2"/>
  <c r="H306" i="2"/>
  <c r="H302" i="2"/>
  <c r="H298" i="2"/>
  <c r="H294" i="2"/>
  <c r="H290" i="2"/>
  <c r="H286" i="2"/>
  <c r="H282" i="2"/>
  <c r="H278" i="2"/>
  <c r="H274" i="2"/>
  <c r="H270" i="2"/>
  <c r="H266" i="2"/>
  <c r="H262" i="2"/>
  <c r="H256" i="2"/>
  <c r="H248" i="2"/>
  <c r="H240" i="2"/>
  <c r="H232" i="2"/>
  <c r="H224" i="2"/>
  <c r="H216" i="2"/>
  <c r="H208" i="2"/>
  <c r="G228" i="1" s="1"/>
  <c r="H200" i="2"/>
  <c r="G220" i="1" s="1"/>
  <c r="H192" i="2"/>
  <c r="G212" i="1" s="1"/>
  <c r="H184" i="2"/>
  <c r="G204" i="1" s="1"/>
  <c r="H176" i="2"/>
  <c r="G196" i="1" s="1"/>
  <c r="H168" i="2"/>
  <c r="G188" i="1" s="1"/>
  <c r="H160" i="2"/>
  <c r="G180" i="1" s="1"/>
  <c r="H152" i="2"/>
  <c r="G172" i="1" s="1"/>
  <c r="H144" i="2"/>
  <c r="G164" i="1" s="1"/>
  <c r="H136" i="2"/>
  <c r="G156" i="1" s="1"/>
  <c r="H128" i="2"/>
  <c r="G148" i="1" s="1"/>
  <c r="H120" i="2"/>
  <c r="G140" i="1" s="1"/>
  <c r="H112" i="2"/>
  <c r="G132" i="1" s="1"/>
  <c r="H104" i="2"/>
  <c r="G124" i="1" s="1"/>
  <c r="H96" i="2"/>
  <c r="G116" i="1" s="1"/>
  <c r="H88" i="2"/>
  <c r="G108" i="1" s="1"/>
  <c r="H80" i="2"/>
  <c r="G100" i="1" s="1"/>
  <c r="H72" i="2"/>
  <c r="G92" i="1" s="1"/>
  <c r="H64" i="2"/>
  <c r="G84" i="1" s="1"/>
  <c r="H56" i="2"/>
  <c r="G76" i="1" s="1"/>
  <c r="H48" i="2"/>
  <c r="G68" i="1" s="1"/>
  <c r="H40" i="2"/>
  <c r="G60" i="1" s="1"/>
  <c r="H32" i="2"/>
  <c r="G52" i="1" s="1"/>
  <c r="H24" i="2"/>
  <c r="G44" i="1" s="1"/>
  <c r="H16" i="2"/>
  <c r="G36" i="1" s="1"/>
  <c r="I358" i="2"/>
  <c r="I350" i="2"/>
  <c r="I342" i="2"/>
  <c r="I334" i="2"/>
  <c r="I326" i="2"/>
  <c r="I318" i="2"/>
  <c r="O11" i="2"/>
  <c r="N32" i="1" s="1"/>
  <c r="K11" i="2"/>
  <c r="J32" i="1" s="1"/>
  <c r="G11" i="2"/>
  <c r="F32" i="1" s="1"/>
  <c r="F363" i="2"/>
  <c r="F359" i="2"/>
  <c r="F355" i="2"/>
  <c r="F351" i="2"/>
  <c r="F347" i="2"/>
  <c r="F343" i="2"/>
  <c r="F339" i="2"/>
  <c r="F335" i="2"/>
  <c r="F331" i="2"/>
  <c r="F327" i="2"/>
  <c r="F323" i="2"/>
  <c r="F319" i="2"/>
  <c r="F315" i="2"/>
  <c r="F311" i="2"/>
  <c r="F307" i="2"/>
  <c r="F303" i="2"/>
  <c r="F299" i="2"/>
  <c r="F295" i="2"/>
  <c r="F291" i="2"/>
  <c r="F287" i="2"/>
  <c r="F283" i="2"/>
  <c r="F279" i="2"/>
  <c r="F275" i="2"/>
  <c r="F271" i="2"/>
  <c r="F267" i="2"/>
  <c r="F263" i="2"/>
  <c r="F259" i="2"/>
  <c r="F255" i="2"/>
  <c r="F251" i="2"/>
  <c r="F247" i="2"/>
  <c r="F243" i="2"/>
  <c r="F239" i="2"/>
  <c r="F235" i="2"/>
  <c r="F231" i="2"/>
  <c r="F227" i="2"/>
  <c r="F223" i="2"/>
  <c r="F219" i="2"/>
  <c r="F215" i="2"/>
  <c r="F211" i="2"/>
  <c r="E231" i="1" s="1"/>
  <c r="F207" i="2"/>
  <c r="E227" i="1" s="1"/>
  <c r="F203" i="2"/>
  <c r="E223" i="1" s="1"/>
  <c r="F199" i="2"/>
  <c r="E219" i="1" s="1"/>
  <c r="F195" i="2"/>
  <c r="E215" i="1" s="1"/>
  <c r="F191" i="2"/>
  <c r="E211" i="1" s="1"/>
  <c r="F187" i="2"/>
  <c r="E207" i="1" s="1"/>
  <c r="F183" i="2"/>
  <c r="E203" i="1" s="1"/>
  <c r="F179" i="2"/>
  <c r="E199" i="1" s="1"/>
  <c r="F175" i="2"/>
  <c r="E195" i="1" s="1"/>
  <c r="F171" i="2"/>
  <c r="E191" i="1" s="1"/>
  <c r="F167" i="2"/>
  <c r="E187" i="1" s="1"/>
  <c r="F163" i="2"/>
  <c r="E183" i="1" s="1"/>
  <c r="F159" i="2"/>
  <c r="E179" i="1" s="1"/>
  <c r="F155" i="2"/>
  <c r="E175" i="1" s="1"/>
  <c r="F151" i="2"/>
  <c r="E171" i="1" s="1"/>
  <c r="F147" i="2"/>
  <c r="E167" i="1" s="1"/>
  <c r="F143" i="2"/>
  <c r="E163" i="1" s="1"/>
  <c r="F139" i="2"/>
  <c r="E159" i="1" s="1"/>
  <c r="F135" i="2"/>
  <c r="E155" i="1" s="1"/>
  <c r="F131" i="2"/>
  <c r="E151" i="1" s="1"/>
  <c r="F127" i="2"/>
  <c r="E147" i="1" s="1"/>
  <c r="F123" i="2"/>
  <c r="E143" i="1" s="1"/>
  <c r="F119" i="2"/>
  <c r="E139" i="1" s="1"/>
  <c r="F115" i="2"/>
  <c r="E135" i="1" s="1"/>
  <c r="F111" i="2"/>
  <c r="E131" i="1" s="1"/>
  <c r="F107" i="2"/>
  <c r="E127" i="1" s="1"/>
  <c r="F103" i="2"/>
  <c r="E123" i="1" s="1"/>
  <c r="F99" i="2"/>
  <c r="E119" i="1" s="1"/>
  <c r="F95" i="2"/>
  <c r="E115" i="1" s="1"/>
  <c r="F91" i="2"/>
  <c r="E111" i="1" s="1"/>
  <c r="F87" i="2"/>
  <c r="E107" i="1" s="1"/>
  <c r="F83" i="2"/>
  <c r="E103" i="1" s="1"/>
  <c r="F79" i="2"/>
  <c r="E99" i="1" s="1"/>
  <c r="F75" i="2"/>
  <c r="E95" i="1" s="1"/>
  <c r="F71" i="2"/>
  <c r="E91" i="1" s="1"/>
  <c r="F67" i="2"/>
  <c r="E87" i="1" s="1"/>
  <c r="F63" i="2"/>
  <c r="E83" i="1" s="1"/>
  <c r="F59" i="2"/>
  <c r="E79" i="1" s="1"/>
  <c r="F55" i="2"/>
  <c r="E75" i="1" s="1"/>
  <c r="F51" i="2"/>
  <c r="E71" i="1" s="1"/>
  <c r="F47" i="2"/>
  <c r="E67" i="1" s="1"/>
  <c r="F43" i="2"/>
  <c r="E63" i="1" s="1"/>
  <c r="F39" i="2"/>
  <c r="E59" i="1" s="1"/>
  <c r="F35" i="2"/>
  <c r="E55" i="1" s="1"/>
  <c r="F31" i="2"/>
  <c r="E51" i="1" s="1"/>
  <c r="F27" i="2"/>
  <c r="E47" i="1" s="1"/>
  <c r="F23" i="2"/>
  <c r="E43" i="1" s="1"/>
  <c r="F19" i="2"/>
  <c r="E39" i="1" s="1"/>
  <c r="G15" i="2"/>
  <c r="F35" i="1" s="1"/>
  <c r="G361" i="2"/>
  <c r="G357" i="2"/>
  <c r="G353" i="2"/>
  <c r="G349" i="2"/>
  <c r="G345" i="2"/>
  <c r="G341" i="2"/>
  <c r="G337" i="2"/>
  <c r="G333" i="2"/>
  <c r="G329" i="2"/>
  <c r="G325" i="2"/>
  <c r="G321" i="2"/>
  <c r="G317" i="2"/>
  <c r="G313" i="2"/>
  <c r="G309" i="2"/>
  <c r="G305" i="2"/>
  <c r="G301" i="2"/>
  <c r="G297" i="2"/>
  <c r="G293" i="2"/>
  <c r="G289" i="2"/>
  <c r="G285" i="2"/>
  <c r="G281" i="2"/>
  <c r="G277" i="2"/>
  <c r="G273" i="2"/>
  <c r="G269" i="2"/>
  <c r="G265" i="2"/>
  <c r="G261" i="2"/>
  <c r="G257" i="2"/>
  <c r="G253" i="2"/>
  <c r="G249" i="2"/>
  <c r="G245" i="2"/>
  <c r="G241" i="2"/>
  <c r="G237" i="2"/>
  <c r="G233" i="2"/>
  <c r="G229" i="2"/>
  <c r="G225" i="2"/>
  <c r="G221" i="2"/>
  <c r="G217" i="2"/>
  <c r="G213" i="2"/>
  <c r="F233" i="1" s="1"/>
  <c r="G209" i="2"/>
  <c r="F229" i="1" s="1"/>
  <c r="G205" i="2"/>
  <c r="F225" i="1" s="1"/>
  <c r="G201" i="2"/>
  <c r="F221" i="1" s="1"/>
  <c r="G197" i="2"/>
  <c r="F217" i="1" s="1"/>
  <c r="G193" i="2"/>
  <c r="F213" i="1" s="1"/>
  <c r="G189" i="2"/>
  <c r="F209" i="1" s="1"/>
  <c r="G185" i="2"/>
  <c r="F205" i="1" s="1"/>
  <c r="G181" i="2"/>
  <c r="F201" i="1" s="1"/>
  <c r="G177" i="2"/>
  <c r="F197" i="1" s="1"/>
  <c r="G173" i="2"/>
  <c r="F193" i="1" s="1"/>
  <c r="G169" i="2"/>
  <c r="F189" i="1" s="1"/>
  <c r="G165" i="2"/>
  <c r="F185" i="1" s="1"/>
  <c r="G161" i="2"/>
  <c r="F181" i="1" s="1"/>
  <c r="G157" i="2"/>
  <c r="F177" i="1" s="1"/>
  <c r="G153" i="2"/>
  <c r="F173" i="1" s="1"/>
  <c r="G149" i="2"/>
  <c r="F169" i="1" s="1"/>
  <c r="G145" i="2"/>
  <c r="F165" i="1" s="1"/>
  <c r="G141" i="2"/>
  <c r="F161" i="1" s="1"/>
  <c r="G137" i="2"/>
  <c r="F157" i="1" s="1"/>
  <c r="G133" i="2"/>
  <c r="F153" i="1" s="1"/>
  <c r="G129" i="2"/>
  <c r="F149" i="1" s="1"/>
  <c r="G125" i="2"/>
  <c r="F145" i="1" s="1"/>
  <c r="G121" i="2"/>
  <c r="F141" i="1" s="1"/>
  <c r="G117" i="2"/>
  <c r="F137" i="1" s="1"/>
  <c r="G113" i="2"/>
  <c r="F133" i="1" s="1"/>
  <c r="G109" i="2"/>
  <c r="F129" i="1" s="1"/>
  <c r="G105" i="2"/>
  <c r="F125" i="1" s="1"/>
  <c r="G101" i="2"/>
  <c r="F121" i="1" s="1"/>
  <c r="G97" i="2"/>
  <c r="F117" i="1" s="1"/>
  <c r="G93" i="2"/>
  <c r="F113" i="1" s="1"/>
  <c r="G89" i="2"/>
  <c r="F109" i="1" s="1"/>
  <c r="G85" i="2"/>
  <c r="F105" i="1" s="1"/>
  <c r="G81" i="2"/>
  <c r="F101" i="1" s="1"/>
  <c r="G77" i="2"/>
  <c r="F97" i="1" s="1"/>
  <c r="G73" i="2"/>
  <c r="F93" i="1" s="1"/>
  <c r="G69" i="2"/>
  <c r="F89" i="1" s="1"/>
  <c r="G65" i="2"/>
  <c r="F85" i="1" s="1"/>
  <c r="G61" i="2"/>
  <c r="F81" i="1" s="1"/>
  <c r="G57" i="2"/>
  <c r="F77" i="1" s="1"/>
  <c r="G53" i="2"/>
  <c r="F73" i="1" s="1"/>
  <c r="G49" i="2"/>
  <c r="F69" i="1" s="1"/>
  <c r="G45" i="2"/>
  <c r="F65" i="1" s="1"/>
  <c r="G41" i="2"/>
  <c r="F61" i="1" s="1"/>
  <c r="G37" i="2"/>
  <c r="F57" i="1" s="1"/>
  <c r="G33" i="2"/>
  <c r="F53" i="1" s="1"/>
  <c r="G29" i="2"/>
  <c r="F49" i="1" s="1"/>
  <c r="G25" i="2"/>
  <c r="F45" i="1" s="1"/>
  <c r="G21" i="2"/>
  <c r="F41" i="1" s="1"/>
  <c r="G17" i="2"/>
  <c r="F37" i="1" s="1"/>
  <c r="H363" i="2"/>
  <c r="H359" i="2"/>
  <c r="H355" i="2"/>
  <c r="H351" i="2"/>
  <c r="H347" i="2"/>
  <c r="H343" i="2"/>
  <c r="H339" i="2"/>
  <c r="H335" i="2"/>
  <c r="H331" i="2"/>
  <c r="H327" i="2"/>
  <c r="H323" i="2"/>
  <c r="H319" i="2"/>
  <c r="H315" i="2"/>
  <c r="H311" i="2"/>
  <c r="H307" i="2"/>
  <c r="H303" i="2"/>
  <c r="H299" i="2"/>
  <c r="H295" i="2"/>
  <c r="H291" i="2"/>
  <c r="H287" i="2"/>
  <c r="H283" i="2"/>
  <c r="H279" i="2"/>
  <c r="H275" i="2"/>
  <c r="H271" i="2"/>
  <c r="H267" i="2"/>
  <c r="H263" i="2"/>
  <c r="H259" i="2"/>
  <c r="H251" i="2"/>
  <c r="H243" i="2"/>
  <c r="H235" i="2"/>
  <c r="H227" i="2"/>
  <c r="H219" i="2"/>
  <c r="H211" i="2"/>
  <c r="G231" i="1" s="1"/>
  <c r="H203" i="2"/>
  <c r="G223" i="1" s="1"/>
  <c r="H195" i="2"/>
  <c r="G215" i="1" s="1"/>
  <c r="H187" i="2"/>
  <c r="G207" i="1" s="1"/>
  <c r="H179" i="2"/>
  <c r="G199" i="1" s="1"/>
  <c r="H171" i="2"/>
  <c r="G191" i="1" s="1"/>
  <c r="H163" i="2"/>
  <c r="G183" i="1" s="1"/>
  <c r="H155" i="2"/>
  <c r="G175" i="1" s="1"/>
  <c r="H147" i="2"/>
  <c r="G167" i="1" s="1"/>
  <c r="H139" i="2"/>
  <c r="G159" i="1" s="1"/>
  <c r="H131" i="2"/>
  <c r="G151" i="1" s="1"/>
  <c r="H123" i="2"/>
  <c r="G143" i="1" s="1"/>
  <c r="H115" i="2"/>
  <c r="G135" i="1" s="1"/>
  <c r="H107" i="2"/>
  <c r="G127" i="1" s="1"/>
  <c r="H99" i="2"/>
  <c r="G119" i="1" s="1"/>
  <c r="H91" i="2"/>
  <c r="G111" i="1" s="1"/>
  <c r="H83" i="2"/>
  <c r="G103" i="1" s="1"/>
  <c r="H75" i="2"/>
  <c r="G95" i="1" s="1"/>
  <c r="H67" i="2"/>
  <c r="G87" i="1" s="1"/>
  <c r="H59" i="2"/>
  <c r="G79" i="1" s="1"/>
  <c r="H51" i="2"/>
  <c r="G71" i="1" s="1"/>
  <c r="H43" i="2"/>
  <c r="G63" i="1" s="1"/>
  <c r="H35" i="2"/>
  <c r="G55" i="1" s="1"/>
  <c r="H27" i="2"/>
  <c r="G47" i="1" s="1"/>
  <c r="H19" i="2"/>
  <c r="G39" i="1" s="1"/>
  <c r="I361" i="2"/>
  <c r="I353" i="2"/>
  <c r="I345" i="2"/>
  <c r="I337" i="2"/>
  <c r="I329" i="2"/>
  <c r="O18" i="2"/>
  <c r="N38" i="1" s="1"/>
  <c r="O22" i="2"/>
  <c r="N42" i="1" s="1"/>
  <c r="O26" i="2"/>
  <c r="N46" i="1" s="1"/>
  <c r="O30" i="2"/>
  <c r="N50" i="1" s="1"/>
  <c r="O34" i="2"/>
  <c r="N54" i="1" s="1"/>
  <c r="O38" i="2"/>
  <c r="N58" i="1" s="1"/>
  <c r="O42" i="2"/>
  <c r="N62" i="1" s="1"/>
  <c r="O46" i="2"/>
  <c r="N66" i="1" s="1"/>
  <c r="O50" i="2"/>
  <c r="N70" i="1" s="1"/>
  <c r="O54" i="2"/>
  <c r="N74" i="1" s="1"/>
  <c r="O58" i="2"/>
  <c r="N78" i="1" s="1"/>
  <c r="O62" i="2"/>
  <c r="N82" i="1" s="1"/>
  <c r="O66" i="2"/>
  <c r="N86" i="1" s="1"/>
  <c r="O70" i="2"/>
  <c r="N90" i="1" s="1"/>
  <c r="O74" i="2"/>
  <c r="N94" i="1" s="1"/>
  <c r="O78" i="2"/>
  <c r="N98" i="1" s="1"/>
  <c r="O82" i="2"/>
  <c r="N102" i="1" s="1"/>
  <c r="O86" i="2"/>
  <c r="N106" i="1" s="1"/>
  <c r="O90" i="2"/>
  <c r="N110" i="1" s="1"/>
  <c r="O94" i="2"/>
  <c r="N114" i="1" s="1"/>
  <c r="O98" i="2"/>
  <c r="N118" i="1" s="1"/>
  <c r="O102" i="2"/>
  <c r="N122" i="1" s="1"/>
  <c r="O106" i="2"/>
  <c r="N126" i="1" s="1"/>
  <c r="O110" i="2"/>
  <c r="N130" i="1" s="1"/>
  <c r="O114" i="2"/>
  <c r="N134" i="1" s="1"/>
  <c r="O118" i="2"/>
  <c r="N138" i="1" s="1"/>
  <c r="O122" i="2"/>
  <c r="N142" i="1" s="1"/>
  <c r="O126" i="2"/>
  <c r="N146" i="1" s="1"/>
  <c r="O130" i="2"/>
  <c r="N150" i="1" s="1"/>
  <c r="O134" i="2"/>
  <c r="N154" i="1" s="1"/>
  <c r="O138" i="2"/>
  <c r="N158" i="1" s="1"/>
  <c r="O142" i="2"/>
  <c r="N162" i="1" s="1"/>
  <c r="O146" i="2"/>
  <c r="N166" i="1" s="1"/>
  <c r="O150" i="2"/>
  <c r="N170" i="1" s="1"/>
  <c r="O154" i="2"/>
  <c r="N174" i="1" s="1"/>
  <c r="O158" i="2"/>
  <c r="N178" i="1" s="1"/>
  <c r="O162" i="2"/>
  <c r="N182" i="1" s="1"/>
  <c r="O166" i="2"/>
  <c r="N186" i="1" s="1"/>
  <c r="O170" i="2"/>
  <c r="N190" i="1" s="1"/>
  <c r="O174" i="2"/>
  <c r="N194" i="1" s="1"/>
  <c r="O178" i="2"/>
  <c r="N198" i="1" s="1"/>
  <c r="O182" i="2"/>
  <c r="N202" i="1" s="1"/>
  <c r="O186" i="2"/>
  <c r="N206" i="1" s="1"/>
  <c r="O190" i="2"/>
  <c r="N210" i="1" s="1"/>
  <c r="O194" i="2"/>
  <c r="N214" i="1" s="1"/>
  <c r="O198" i="2"/>
  <c r="N218" i="1" s="1"/>
  <c r="O202" i="2"/>
  <c r="N222" i="1" s="1"/>
  <c r="O206" i="2"/>
  <c r="N226" i="1" s="1"/>
  <c r="O210" i="2"/>
  <c r="N230" i="1" s="1"/>
  <c r="O214" i="2"/>
  <c r="N234" i="1" s="1"/>
  <c r="O218" i="2"/>
  <c r="O222" i="2"/>
  <c r="O226" i="2"/>
  <c r="O230" i="2"/>
  <c r="O234" i="2"/>
  <c r="O238" i="2"/>
  <c r="O242" i="2"/>
  <c r="O246" i="2"/>
  <c r="O250" i="2"/>
  <c r="O254" i="2"/>
  <c r="O258" i="2"/>
  <c r="O262" i="2"/>
  <c r="O266" i="2"/>
  <c r="O270" i="2"/>
  <c r="O274" i="2"/>
  <c r="O278" i="2"/>
  <c r="O282" i="2"/>
  <c r="O286" i="2"/>
  <c r="O290" i="2"/>
  <c r="O294" i="2"/>
  <c r="O298" i="2"/>
  <c r="O302" i="2"/>
  <c r="O306" i="2"/>
  <c r="O310" i="2"/>
  <c r="O314" i="2"/>
  <c r="O318" i="2"/>
  <c r="O322" i="2"/>
  <c r="O326" i="2"/>
  <c r="O330" i="2"/>
  <c r="O334" i="2"/>
  <c r="O338" i="2"/>
  <c r="O342" i="2"/>
  <c r="O346" i="2"/>
  <c r="O350" i="2"/>
  <c r="O354" i="2"/>
  <c r="O358" i="2"/>
  <c r="O362" i="2"/>
  <c r="N16" i="2"/>
  <c r="M36" i="1" s="1"/>
  <c r="N20" i="2"/>
  <c r="M40" i="1" s="1"/>
  <c r="N24" i="2"/>
  <c r="M44" i="1" s="1"/>
  <c r="N28" i="2"/>
  <c r="M48" i="1" s="1"/>
  <c r="N32" i="2"/>
  <c r="M52" i="1" s="1"/>
  <c r="N36" i="2"/>
  <c r="M56" i="1" s="1"/>
  <c r="N40" i="2"/>
  <c r="M60" i="1" s="1"/>
  <c r="N44" i="2"/>
  <c r="M64" i="1" s="1"/>
  <c r="N48" i="2"/>
  <c r="M68" i="1" s="1"/>
  <c r="O17" i="2"/>
  <c r="N37" i="1" s="1"/>
  <c r="O21" i="2"/>
  <c r="N41" i="1" s="1"/>
  <c r="O25" i="2"/>
  <c r="N45" i="1" s="1"/>
  <c r="O29" i="2"/>
  <c r="N49" i="1" s="1"/>
  <c r="O33" i="2"/>
  <c r="N53" i="1" s="1"/>
  <c r="O37" i="2"/>
  <c r="N57" i="1" s="1"/>
  <c r="O41" i="2"/>
  <c r="N61" i="1" s="1"/>
  <c r="O45" i="2"/>
  <c r="N65" i="1" s="1"/>
  <c r="O49" i="2"/>
  <c r="N69" i="1" s="1"/>
  <c r="O53" i="2"/>
  <c r="N73" i="1" s="1"/>
  <c r="O57" i="2"/>
  <c r="N77" i="1" s="1"/>
  <c r="O61" i="2"/>
  <c r="N81" i="1" s="1"/>
  <c r="O65" i="2"/>
  <c r="N85" i="1" s="1"/>
  <c r="O69" i="2"/>
  <c r="N89" i="1" s="1"/>
  <c r="O73" i="2"/>
  <c r="N93" i="1" s="1"/>
  <c r="O77" i="2"/>
  <c r="N97" i="1" s="1"/>
  <c r="O81" i="2"/>
  <c r="N101" i="1" s="1"/>
  <c r="O85" i="2"/>
  <c r="N105" i="1" s="1"/>
  <c r="O89" i="2"/>
  <c r="N109" i="1" s="1"/>
  <c r="O93" i="2"/>
  <c r="N113" i="1" s="1"/>
  <c r="O97" i="2"/>
  <c r="N117" i="1" s="1"/>
  <c r="O101" i="2"/>
  <c r="N121" i="1" s="1"/>
  <c r="O105" i="2"/>
  <c r="N125" i="1" s="1"/>
  <c r="O109" i="2"/>
  <c r="N129" i="1" s="1"/>
  <c r="O113" i="2"/>
  <c r="N133" i="1" s="1"/>
  <c r="O117" i="2"/>
  <c r="N137" i="1" s="1"/>
  <c r="O121" i="2"/>
  <c r="N141" i="1" s="1"/>
  <c r="O125" i="2"/>
  <c r="N145" i="1" s="1"/>
  <c r="O129" i="2"/>
  <c r="N149" i="1" s="1"/>
  <c r="O133" i="2"/>
  <c r="N153" i="1" s="1"/>
  <c r="O137" i="2"/>
  <c r="N157" i="1" s="1"/>
  <c r="O141" i="2"/>
  <c r="N161" i="1" s="1"/>
  <c r="O145" i="2"/>
  <c r="N165" i="1" s="1"/>
  <c r="O149" i="2"/>
  <c r="N169" i="1" s="1"/>
  <c r="O153" i="2"/>
  <c r="N173" i="1" s="1"/>
  <c r="O157" i="2"/>
  <c r="N177" i="1" s="1"/>
  <c r="O161" i="2"/>
  <c r="N181" i="1" s="1"/>
  <c r="O165" i="2"/>
  <c r="N185" i="1" s="1"/>
  <c r="O169" i="2"/>
  <c r="N189" i="1" s="1"/>
  <c r="O173" i="2"/>
  <c r="N193" i="1" s="1"/>
  <c r="O177" i="2"/>
  <c r="N197" i="1" s="1"/>
  <c r="O181" i="2"/>
  <c r="N201" i="1" s="1"/>
  <c r="O185" i="2"/>
  <c r="N205" i="1" s="1"/>
  <c r="O189" i="2"/>
  <c r="N209" i="1" s="1"/>
  <c r="O193" i="2"/>
  <c r="N213" i="1" s="1"/>
  <c r="O197" i="2"/>
  <c r="N217" i="1" s="1"/>
  <c r="O201" i="2"/>
  <c r="N221" i="1" s="1"/>
  <c r="O205" i="2"/>
  <c r="N225" i="1" s="1"/>
  <c r="O209" i="2"/>
  <c r="N229" i="1" s="1"/>
  <c r="O213" i="2"/>
  <c r="N233" i="1" s="1"/>
  <c r="O217" i="2"/>
  <c r="O221" i="2"/>
  <c r="O225" i="2"/>
  <c r="O229" i="2"/>
  <c r="O233" i="2"/>
  <c r="O237" i="2"/>
  <c r="O241" i="2"/>
  <c r="O245" i="2"/>
  <c r="O249" i="2"/>
  <c r="O253" i="2"/>
  <c r="O257" i="2"/>
  <c r="O261" i="2"/>
  <c r="O265" i="2"/>
  <c r="O269" i="2"/>
  <c r="O273" i="2"/>
  <c r="O277" i="2"/>
  <c r="O281" i="2"/>
  <c r="O285" i="2"/>
  <c r="O289" i="2"/>
  <c r="O293" i="2"/>
  <c r="O297" i="2"/>
  <c r="O301" i="2"/>
  <c r="O305" i="2"/>
  <c r="O309" i="2"/>
  <c r="O313" i="2"/>
  <c r="O317" i="2"/>
  <c r="O321" i="2"/>
  <c r="O325" i="2"/>
  <c r="O329" i="2"/>
  <c r="O333" i="2"/>
  <c r="O337" i="2"/>
  <c r="O341" i="2"/>
  <c r="O345" i="2"/>
  <c r="O349" i="2"/>
  <c r="O353" i="2"/>
  <c r="O357" i="2"/>
  <c r="O361" i="2"/>
  <c r="O15" i="2"/>
  <c r="N35" i="1" s="1"/>
  <c r="N19" i="2"/>
  <c r="M39" i="1" s="1"/>
  <c r="N23" i="2"/>
  <c r="M43" i="1" s="1"/>
  <c r="N27" i="2"/>
  <c r="M47" i="1" s="1"/>
  <c r="N31" i="2"/>
  <c r="M51" i="1" s="1"/>
  <c r="N35" i="2"/>
  <c r="M55" i="1" s="1"/>
  <c r="N39" i="2"/>
  <c r="M59" i="1" s="1"/>
  <c r="N43" i="2"/>
  <c r="M63" i="1" s="1"/>
  <c r="N47" i="2"/>
  <c r="M67" i="1" s="1"/>
  <c r="N51" i="2"/>
  <c r="M71" i="1" s="1"/>
  <c r="N55" i="2"/>
  <c r="M75" i="1" s="1"/>
  <c r="N59" i="2"/>
  <c r="M79" i="1" s="1"/>
  <c r="N63" i="2"/>
  <c r="M83" i="1" s="1"/>
  <c r="N67" i="2"/>
  <c r="M87" i="1" s="1"/>
  <c r="N71" i="2"/>
  <c r="M91" i="1" s="1"/>
  <c r="N75" i="2"/>
  <c r="M95" i="1" s="1"/>
  <c r="N79" i="2"/>
  <c r="M99" i="1" s="1"/>
  <c r="N83" i="2"/>
  <c r="M103" i="1" s="1"/>
  <c r="N87" i="2"/>
  <c r="M107" i="1" s="1"/>
  <c r="N91" i="2"/>
  <c r="M111" i="1" s="1"/>
  <c r="N95" i="2"/>
  <c r="M115" i="1" s="1"/>
  <c r="N99" i="2"/>
  <c r="M119" i="1" s="1"/>
  <c r="N103" i="2"/>
  <c r="M123" i="1" s="1"/>
  <c r="N107" i="2"/>
  <c r="M127" i="1" s="1"/>
  <c r="N111" i="2"/>
  <c r="M131" i="1" s="1"/>
  <c r="N115" i="2"/>
  <c r="M135" i="1" s="1"/>
  <c r="N119" i="2"/>
  <c r="M139" i="1" s="1"/>
  <c r="N123" i="2"/>
  <c r="M143" i="1" s="1"/>
  <c r="N127" i="2"/>
  <c r="M147" i="1" s="1"/>
  <c r="N131" i="2"/>
  <c r="M151" i="1" s="1"/>
  <c r="N135" i="2"/>
  <c r="M155" i="1" s="1"/>
  <c r="N139" i="2"/>
  <c r="M159" i="1" s="1"/>
  <c r="N143" i="2"/>
  <c r="M163" i="1" s="1"/>
  <c r="N147" i="2"/>
  <c r="M167" i="1" s="1"/>
  <c r="N151" i="2"/>
  <c r="M171" i="1" s="1"/>
  <c r="N155" i="2"/>
  <c r="M175" i="1" s="1"/>
  <c r="N159" i="2"/>
  <c r="M179" i="1" s="1"/>
  <c r="N163" i="2"/>
  <c r="M183" i="1" s="1"/>
  <c r="N167" i="2"/>
  <c r="M187" i="1" s="1"/>
  <c r="N171" i="2"/>
  <c r="M191" i="1" s="1"/>
  <c r="N175" i="2"/>
  <c r="M195" i="1" s="1"/>
  <c r="N179" i="2"/>
  <c r="M199" i="1" s="1"/>
  <c r="N183" i="2"/>
  <c r="M203" i="1" s="1"/>
  <c r="N187" i="2"/>
  <c r="M207" i="1" s="1"/>
  <c r="N191" i="2"/>
  <c r="M211" i="1" s="1"/>
  <c r="N195" i="2"/>
  <c r="M215" i="1" s="1"/>
  <c r="N199" i="2"/>
  <c r="M219" i="1" s="1"/>
  <c r="N203" i="2"/>
  <c r="M223" i="1" s="1"/>
  <c r="N207" i="2"/>
  <c r="M227" i="1" s="1"/>
  <c r="N211" i="2"/>
  <c r="M231" i="1" s="1"/>
  <c r="N215" i="2"/>
  <c r="N219" i="2"/>
  <c r="N223" i="2"/>
  <c r="N227" i="2"/>
  <c r="O16" i="2"/>
  <c r="N36" i="1" s="1"/>
  <c r="O20" i="2"/>
  <c r="N40" i="1" s="1"/>
  <c r="O24" i="2"/>
  <c r="N44" i="1" s="1"/>
  <c r="O28" i="2"/>
  <c r="N48" i="1" s="1"/>
  <c r="O32" i="2"/>
  <c r="N52" i="1" s="1"/>
  <c r="O36" i="2"/>
  <c r="N56" i="1" s="1"/>
  <c r="O40" i="2"/>
  <c r="N60" i="1" s="1"/>
  <c r="O44" i="2"/>
  <c r="N64" i="1" s="1"/>
  <c r="O48" i="2"/>
  <c r="N68" i="1" s="1"/>
  <c r="O52" i="2"/>
  <c r="N72" i="1" s="1"/>
  <c r="O56" i="2"/>
  <c r="N76" i="1" s="1"/>
  <c r="O60" i="2"/>
  <c r="N80" i="1" s="1"/>
  <c r="O64" i="2"/>
  <c r="N84" i="1" s="1"/>
  <c r="O68" i="2"/>
  <c r="N88" i="1" s="1"/>
  <c r="O72" i="2"/>
  <c r="N92" i="1" s="1"/>
  <c r="O76" i="2"/>
  <c r="N96" i="1" s="1"/>
  <c r="O80" i="2"/>
  <c r="N100" i="1" s="1"/>
  <c r="O84" i="2"/>
  <c r="N104" i="1" s="1"/>
  <c r="O88" i="2"/>
  <c r="N108" i="1" s="1"/>
  <c r="O92" i="2"/>
  <c r="N112" i="1" s="1"/>
  <c r="O96" i="2"/>
  <c r="N116" i="1" s="1"/>
  <c r="O100" i="2"/>
  <c r="N120" i="1" s="1"/>
  <c r="O104" i="2"/>
  <c r="N124" i="1" s="1"/>
  <c r="O108" i="2"/>
  <c r="N128" i="1" s="1"/>
  <c r="O112" i="2"/>
  <c r="N132" i="1" s="1"/>
  <c r="O116" i="2"/>
  <c r="N136" i="1" s="1"/>
  <c r="O120" i="2"/>
  <c r="N140" i="1" s="1"/>
  <c r="O124" i="2"/>
  <c r="N144" i="1" s="1"/>
  <c r="O128" i="2"/>
  <c r="N148" i="1" s="1"/>
  <c r="O132" i="2"/>
  <c r="N152" i="1" s="1"/>
  <c r="O136" i="2"/>
  <c r="N156" i="1" s="1"/>
  <c r="O140" i="2"/>
  <c r="N160" i="1" s="1"/>
  <c r="O144" i="2"/>
  <c r="N164" i="1" s="1"/>
  <c r="O148" i="2"/>
  <c r="N168" i="1" s="1"/>
  <c r="O152" i="2"/>
  <c r="N172" i="1" s="1"/>
  <c r="O156" i="2"/>
  <c r="N176" i="1" s="1"/>
  <c r="O160" i="2"/>
  <c r="N180" i="1" s="1"/>
  <c r="O164" i="2"/>
  <c r="N184" i="1" s="1"/>
  <c r="O168" i="2"/>
  <c r="N188" i="1" s="1"/>
  <c r="O172" i="2"/>
  <c r="N192" i="1" s="1"/>
  <c r="O176" i="2"/>
  <c r="N196" i="1" s="1"/>
  <c r="O180" i="2"/>
  <c r="N200" i="1" s="1"/>
  <c r="O184" i="2"/>
  <c r="N204" i="1" s="1"/>
  <c r="O188" i="2"/>
  <c r="N208" i="1" s="1"/>
  <c r="O192" i="2"/>
  <c r="N212" i="1" s="1"/>
  <c r="O196" i="2"/>
  <c r="N216" i="1" s="1"/>
  <c r="O200" i="2"/>
  <c r="N220" i="1" s="1"/>
  <c r="O204" i="2"/>
  <c r="N224" i="1" s="1"/>
  <c r="O208" i="2"/>
  <c r="N228" i="1" s="1"/>
  <c r="O212" i="2"/>
  <c r="N232" i="1" s="1"/>
  <c r="O216" i="2"/>
  <c r="O220" i="2"/>
  <c r="O224" i="2"/>
  <c r="O228" i="2"/>
  <c r="O232" i="2"/>
  <c r="O236" i="2"/>
  <c r="O240" i="2"/>
  <c r="O244" i="2"/>
  <c r="O248" i="2"/>
  <c r="O252" i="2"/>
  <c r="O256" i="2"/>
  <c r="O260" i="2"/>
  <c r="O264" i="2"/>
  <c r="O268" i="2"/>
  <c r="O272" i="2"/>
  <c r="O276" i="2"/>
  <c r="O280" i="2"/>
  <c r="O284" i="2"/>
  <c r="O288" i="2"/>
  <c r="O292" i="2"/>
  <c r="O296" i="2"/>
  <c r="O300" i="2"/>
  <c r="O304" i="2"/>
  <c r="O308" i="2"/>
  <c r="O312" i="2"/>
  <c r="O316" i="2"/>
  <c r="O320" i="2"/>
  <c r="O324" i="2"/>
  <c r="O328" i="2"/>
  <c r="O332" i="2"/>
  <c r="O336" i="2"/>
  <c r="O340" i="2"/>
  <c r="O344" i="2"/>
  <c r="O348" i="2"/>
  <c r="O352" i="2"/>
  <c r="O356" i="2"/>
  <c r="O360" i="2"/>
  <c r="O364" i="2"/>
  <c r="N18" i="2"/>
  <c r="M38" i="1" s="1"/>
  <c r="N22" i="2"/>
  <c r="M42" i="1" s="1"/>
  <c r="N26" i="2"/>
  <c r="M46" i="1" s="1"/>
  <c r="N30" i="2"/>
  <c r="M50" i="1" s="1"/>
  <c r="N34" i="2"/>
  <c r="M54" i="1" s="1"/>
  <c r="N38" i="2"/>
  <c r="M58" i="1" s="1"/>
  <c r="N42" i="2"/>
  <c r="M62" i="1" s="1"/>
  <c r="N46" i="2"/>
  <c r="M66" i="1" s="1"/>
  <c r="N50" i="2"/>
  <c r="M70" i="1" s="1"/>
  <c r="N54" i="2"/>
  <c r="M74" i="1" s="1"/>
  <c r="N58" i="2"/>
  <c r="M78" i="1" s="1"/>
  <c r="N62" i="2"/>
  <c r="M82" i="1" s="1"/>
  <c r="N66" i="2"/>
  <c r="M86" i="1" s="1"/>
  <c r="N70" i="2"/>
  <c r="M90" i="1" s="1"/>
  <c r="N74" i="2"/>
  <c r="M94" i="1" s="1"/>
  <c r="N78" i="2"/>
  <c r="M98" i="1" s="1"/>
  <c r="N82" i="2"/>
  <c r="M102" i="1" s="1"/>
  <c r="N86" i="2"/>
  <c r="M106" i="1" s="1"/>
  <c r="N90" i="2"/>
  <c r="M110" i="1" s="1"/>
  <c r="N94" i="2"/>
  <c r="M114" i="1" s="1"/>
  <c r="N98" i="2"/>
  <c r="M118" i="1" s="1"/>
  <c r="N102" i="2"/>
  <c r="M122" i="1" s="1"/>
  <c r="N106" i="2"/>
  <c r="M126" i="1" s="1"/>
  <c r="N110" i="2"/>
  <c r="M130" i="1" s="1"/>
  <c r="N114" i="2"/>
  <c r="M134" i="1" s="1"/>
  <c r="N118" i="2"/>
  <c r="M138" i="1" s="1"/>
  <c r="N122" i="2"/>
  <c r="M142" i="1" s="1"/>
  <c r="N126" i="2"/>
  <c r="M146" i="1" s="1"/>
  <c r="N130" i="2"/>
  <c r="M150" i="1" s="1"/>
  <c r="N134" i="2"/>
  <c r="M154" i="1" s="1"/>
  <c r="N138" i="2"/>
  <c r="M158" i="1" s="1"/>
  <c r="N142" i="2"/>
  <c r="M162" i="1" s="1"/>
  <c r="N146" i="2"/>
  <c r="M166" i="1" s="1"/>
  <c r="N150" i="2"/>
  <c r="M170" i="1" s="1"/>
  <c r="N154" i="2"/>
  <c r="M174" i="1" s="1"/>
  <c r="N158" i="2"/>
  <c r="M178" i="1" s="1"/>
  <c r="N162" i="2"/>
  <c r="M182" i="1" s="1"/>
  <c r="N166" i="2"/>
  <c r="M186" i="1" s="1"/>
  <c r="N170" i="2"/>
  <c r="M190" i="1" s="1"/>
  <c r="N174" i="2"/>
  <c r="M194" i="1" s="1"/>
  <c r="N178" i="2"/>
  <c r="M198" i="1" s="1"/>
  <c r="N182" i="2"/>
  <c r="M202" i="1" s="1"/>
  <c r="N186" i="2"/>
  <c r="M206" i="1" s="1"/>
  <c r="N190" i="2"/>
  <c r="M210" i="1" s="1"/>
  <c r="N194" i="2"/>
  <c r="M214" i="1" s="1"/>
  <c r="N198" i="2"/>
  <c r="M218" i="1" s="1"/>
  <c r="N202" i="2"/>
  <c r="M222" i="1" s="1"/>
  <c r="N206" i="2"/>
  <c r="M226" i="1" s="1"/>
  <c r="N210" i="2"/>
  <c r="M230" i="1" s="1"/>
  <c r="N214" i="2"/>
  <c r="M234" i="1" s="1"/>
  <c r="N218" i="2"/>
  <c r="N222" i="2"/>
  <c r="N226" i="2"/>
  <c r="N230" i="2"/>
  <c r="N234" i="2"/>
  <c r="N238" i="2"/>
  <c r="N242" i="2"/>
  <c r="N246" i="2"/>
  <c r="N250" i="2"/>
  <c r="N254" i="2"/>
  <c r="N258" i="2"/>
  <c r="N262" i="2"/>
  <c r="N266" i="2"/>
  <c r="N270" i="2"/>
  <c r="N274" i="2"/>
  <c r="N278" i="2"/>
  <c r="N282" i="2"/>
  <c r="N286" i="2"/>
  <c r="N290" i="2"/>
  <c r="N294" i="2"/>
  <c r="N298" i="2"/>
  <c r="N302" i="2"/>
  <c r="N306" i="2"/>
  <c r="N310" i="2"/>
  <c r="N314" i="2"/>
  <c r="N318" i="2"/>
  <c r="N322" i="2"/>
  <c r="N326" i="2"/>
  <c r="N330" i="2"/>
  <c r="N334" i="2"/>
  <c r="N338" i="2"/>
  <c r="N342" i="2"/>
  <c r="N346" i="2"/>
  <c r="N350" i="2"/>
  <c r="N354" i="2"/>
  <c r="N358" i="2"/>
  <c r="N362" i="2"/>
  <c r="M16" i="2"/>
  <c r="L36" i="1" s="1"/>
  <c r="M20" i="2"/>
  <c r="L40" i="1" s="1"/>
  <c r="M24" i="2"/>
  <c r="L44" i="1" s="1"/>
  <c r="M28" i="2"/>
  <c r="L48" i="1" s="1"/>
  <c r="M32" i="2"/>
  <c r="L52" i="1" s="1"/>
  <c r="M36" i="2"/>
  <c r="L56" i="1" s="1"/>
  <c r="M40" i="2"/>
  <c r="L60" i="1" s="1"/>
  <c r="M44" i="2"/>
  <c r="L64" i="1" s="1"/>
  <c r="M48" i="2"/>
  <c r="L68" i="1" s="1"/>
  <c r="M52" i="2"/>
  <c r="L72" i="1" s="1"/>
  <c r="M56" i="2"/>
  <c r="L76" i="1" s="1"/>
  <c r="M60" i="2"/>
  <c r="L80" i="1" s="1"/>
  <c r="M64" i="2"/>
  <c r="L84" i="1" s="1"/>
  <c r="M68" i="2"/>
  <c r="L88" i="1" s="1"/>
  <c r="M72" i="2"/>
  <c r="L92" i="1" s="1"/>
  <c r="M76" i="2"/>
  <c r="L96" i="1" s="1"/>
  <c r="M80" i="2"/>
  <c r="L100" i="1" s="1"/>
  <c r="M84" i="2"/>
  <c r="L104" i="1" s="1"/>
  <c r="M88" i="2"/>
  <c r="L108" i="1" s="1"/>
  <c r="M92" i="2"/>
  <c r="L112" i="1" s="1"/>
  <c r="M96" i="2"/>
  <c r="L116" i="1" s="1"/>
  <c r="M100" i="2"/>
  <c r="L120" i="1" s="1"/>
  <c r="M104" i="2"/>
  <c r="L124" i="1" s="1"/>
  <c r="M108" i="2"/>
  <c r="L128" i="1" s="1"/>
  <c r="M112" i="2"/>
  <c r="L132" i="1" s="1"/>
  <c r="M116" i="2"/>
  <c r="L136" i="1" s="1"/>
  <c r="M120" i="2"/>
  <c r="L140" i="1" s="1"/>
  <c r="M124" i="2"/>
  <c r="L144" i="1" s="1"/>
  <c r="M128" i="2"/>
  <c r="L148" i="1" s="1"/>
  <c r="M132" i="2"/>
  <c r="L152" i="1" s="1"/>
  <c r="O19" i="2"/>
  <c r="N39" i="1" s="1"/>
  <c r="O23" i="2"/>
  <c r="N43" i="1" s="1"/>
  <c r="O27" i="2"/>
  <c r="N47" i="1" s="1"/>
  <c r="O31" i="2"/>
  <c r="N51" i="1" s="1"/>
  <c r="O35" i="2"/>
  <c r="N55" i="1" s="1"/>
  <c r="O39" i="2"/>
  <c r="N59" i="1" s="1"/>
  <c r="O43" i="2"/>
  <c r="N63" i="1" s="1"/>
  <c r="O47" i="2"/>
  <c r="N67" i="1" s="1"/>
  <c r="O51" i="2"/>
  <c r="N71" i="1" s="1"/>
  <c r="O55" i="2"/>
  <c r="N75" i="1" s="1"/>
  <c r="O59" i="2"/>
  <c r="N79" i="1" s="1"/>
  <c r="O63" i="2"/>
  <c r="N83" i="1" s="1"/>
  <c r="O67" i="2"/>
  <c r="N87" i="1" s="1"/>
  <c r="O71" i="2"/>
  <c r="N91" i="1" s="1"/>
  <c r="O75" i="2"/>
  <c r="N95" i="1" s="1"/>
  <c r="O79" i="2"/>
  <c r="N99" i="1" s="1"/>
  <c r="O83" i="2"/>
  <c r="N103" i="1" s="1"/>
  <c r="O87" i="2"/>
  <c r="N107" i="1" s="1"/>
  <c r="O91" i="2"/>
  <c r="N111" i="1" s="1"/>
  <c r="O95" i="2"/>
  <c r="N115" i="1" s="1"/>
  <c r="O99" i="2"/>
  <c r="N119" i="1" s="1"/>
  <c r="O103" i="2"/>
  <c r="N123" i="1" s="1"/>
  <c r="O107" i="2"/>
  <c r="N127" i="1" s="1"/>
  <c r="O111" i="2"/>
  <c r="N131" i="1" s="1"/>
  <c r="O115" i="2"/>
  <c r="N135" i="1" s="1"/>
  <c r="O119" i="2"/>
  <c r="N139" i="1" s="1"/>
  <c r="O123" i="2"/>
  <c r="N143" i="1" s="1"/>
  <c r="O127" i="2"/>
  <c r="N147" i="1" s="1"/>
  <c r="O131" i="2"/>
  <c r="N151" i="1" s="1"/>
  <c r="O135" i="2"/>
  <c r="N155" i="1" s="1"/>
  <c r="O139" i="2"/>
  <c r="N159" i="1" s="1"/>
  <c r="O143" i="2"/>
  <c r="N163" i="1" s="1"/>
  <c r="O147" i="2"/>
  <c r="N167" i="1" s="1"/>
  <c r="O151" i="2"/>
  <c r="N171" i="1" s="1"/>
  <c r="O155" i="2"/>
  <c r="N175" i="1" s="1"/>
  <c r="O159" i="2"/>
  <c r="N179" i="1" s="1"/>
  <c r="O163" i="2"/>
  <c r="N183" i="1" s="1"/>
  <c r="O167" i="2"/>
  <c r="N187" i="1" s="1"/>
  <c r="O171" i="2"/>
  <c r="N191" i="1" s="1"/>
  <c r="O175" i="2"/>
  <c r="N195" i="1" s="1"/>
  <c r="O179" i="2"/>
  <c r="N199" i="1" s="1"/>
  <c r="O183" i="2"/>
  <c r="N203" i="1" s="1"/>
  <c r="O187" i="2"/>
  <c r="N207" i="1" s="1"/>
  <c r="O191" i="2"/>
  <c r="N211" i="1" s="1"/>
  <c r="O195" i="2"/>
  <c r="N215" i="1" s="1"/>
  <c r="O199" i="2"/>
  <c r="N219" i="1" s="1"/>
  <c r="O203" i="2"/>
  <c r="N223" i="1" s="1"/>
  <c r="O207" i="2"/>
  <c r="N227" i="1" s="1"/>
  <c r="O211" i="2"/>
  <c r="N231" i="1" s="1"/>
  <c r="O215" i="2"/>
  <c r="O219" i="2"/>
  <c r="O223" i="2"/>
  <c r="O227" i="2"/>
  <c r="O231" i="2"/>
  <c r="O235" i="2"/>
  <c r="O239" i="2"/>
  <c r="O243" i="2"/>
  <c r="O247" i="2"/>
  <c r="O251" i="2"/>
  <c r="O255" i="2"/>
  <c r="O259" i="2"/>
  <c r="O263" i="2"/>
  <c r="O267" i="2"/>
  <c r="O271" i="2"/>
  <c r="O275" i="2"/>
  <c r="O279" i="2"/>
  <c r="O283" i="2"/>
  <c r="O287" i="2"/>
  <c r="O291" i="2"/>
  <c r="O295" i="2"/>
  <c r="O299" i="2"/>
  <c r="O303" i="2"/>
  <c r="O307" i="2"/>
  <c r="O311" i="2"/>
  <c r="O315" i="2"/>
  <c r="O319" i="2"/>
  <c r="O323" i="2"/>
  <c r="O327" i="2"/>
  <c r="O331" i="2"/>
  <c r="O335" i="2"/>
  <c r="O339" i="2"/>
  <c r="O343" i="2"/>
  <c r="O347" i="2"/>
  <c r="O351" i="2"/>
  <c r="O355" i="2"/>
  <c r="O359" i="2"/>
  <c r="O363" i="2"/>
  <c r="N17" i="2"/>
  <c r="M37" i="1" s="1"/>
  <c r="N21" i="2"/>
  <c r="M41" i="1" s="1"/>
  <c r="N25" i="2"/>
  <c r="M45" i="1" s="1"/>
  <c r="N29" i="2"/>
  <c r="M49" i="1" s="1"/>
  <c r="N33" i="2"/>
  <c r="M53" i="1" s="1"/>
  <c r="N37" i="2"/>
  <c r="M57" i="1" s="1"/>
  <c r="N41" i="2"/>
  <c r="M61" i="1" s="1"/>
  <c r="N45" i="2"/>
  <c r="M65" i="1" s="1"/>
  <c r="N49" i="2"/>
  <c r="M69" i="1" s="1"/>
  <c r="N53" i="2"/>
  <c r="M73" i="1" s="1"/>
  <c r="N57" i="2"/>
  <c r="M77" i="1" s="1"/>
  <c r="N61" i="2"/>
  <c r="M81" i="1" s="1"/>
  <c r="N65" i="2"/>
  <c r="M85" i="1" s="1"/>
  <c r="N69" i="2"/>
  <c r="M89" i="1" s="1"/>
  <c r="N73" i="2"/>
  <c r="M93" i="1" s="1"/>
  <c r="N77" i="2"/>
  <c r="M97" i="1" s="1"/>
  <c r="N81" i="2"/>
  <c r="M101" i="1" s="1"/>
  <c r="N85" i="2"/>
  <c r="M105" i="1" s="1"/>
  <c r="N89" i="2"/>
  <c r="M109" i="1" s="1"/>
  <c r="N93" i="2"/>
  <c r="M113" i="1" s="1"/>
  <c r="N97" i="2"/>
  <c r="M117" i="1" s="1"/>
  <c r="N101" i="2"/>
  <c r="M121" i="1" s="1"/>
  <c r="N105" i="2"/>
  <c r="M125" i="1" s="1"/>
  <c r="N109" i="2"/>
  <c r="M129" i="1" s="1"/>
  <c r="N113" i="2"/>
  <c r="M133" i="1" s="1"/>
  <c r="N117" i="2"/>
  <c r="M137" i="1" s="1"/>
  <c r="N121" i="2"/>
  <c r="M141" i="1" s="1"/>
  <c r="N125" i="2"/>
  <c r="M145" i="1" s="1"/>
  <c r="N129" i="2"/>
  <c r="M149" i="1" s="1"/>
  <c r="N133" i="2"/>
  <c r="M153" i="1" s="1"/>
  <c r="N137" i="2"/>
  <c r="M157" i="1" s="1"/>
  <c r="N141" i="2"/>
  <c r="M161" i="1" s="1"/>
  <c r="N145" i="2"/>
  <c r="M165" i="1" s="1"/>
  <c r="N149" i="2"/>
  <c r="M169" i="1" s="1"/>
  <c r="N153" i="2"/>
  <c r="M173" i="1" s="1"/>
  <c r="N157" i="2"/>
  <c r="M177" i="1" s="1"/>
  <c r="N161" i="2"/>
  <c r="M181" i="1" s="1"/>
  <c r="N165" i="2"/>
  <c r="M185" i="1" s="1"/>
  <c r="N169" i="2"/>
  <c r="M189" i="1" s="1"/>
  <c r="N173" i="2"/>
  <c r="M193" i="1" s="1"/>
  <c r="N177" i="2"/>
  <c r="M197" i="1" s="1"/>
  <c r="N181" i="2"/>
  <c r="M201" i="1" s="1"/>
  <c r="N185" i="2"/>
  <c r="M205" i="1" s="1"/>
  <c r="N189" i="2"/>
  <c r="M209" i="1" s="1"/>
  <c r="N193" i="2"/>
  <c r="M213" i="1" s="1"/>
  <c r="N197" i="2"/>
  <c r="M217" i="1" s="1"/>
  <c r="N201" i="2"/>
  <c r="M221" i="1" s="1"/>
  <c r="N205" i="2"/>
  <c r="M225" i="1" s="1"/>
  <c r="N209" i="2"/>
  <c r="M229" i="1" s="1"/>
  <c r="N213" i="2"/>
  <c r="M233" i="1" s="1"/>
  <c r="N217" i="2"/>
  <c r="N221" i="2"/>
  <c r="N225" i="2"/>
  <c r="N229" i="2"/>
  <c r="N233" i="2"/>
  <c r="N237" i="2"/>
  <c r="N241" i="2"/>
  <c r="N245" i="2"/>
  <c r="N249" i="2"/>
  <c r="N253" i="2"/>
  <c r="N257" i="2"/>
  <c r="N261" i="2"/>
  <c r="N265" i="2"/>
  <c r="N269" i="2"/>
  <c r="N273" i="2"/>
  <c r="N277" i="2"/>
  <c r="N281" i="2"/>
  <c r="N285" i="2"/>
  <c r="N289" i="2"/>
  <c r="N293" i="2"/>
  <c r="N297" i="2"/>
  <c r="N301" i="2"/>
  <c r="N305" i="2"/>
  <c r="N309" i="2"/>
  <c r="N313" i="2"/>
  <c r="N317" i="2"/>
  <c r="N321" i="2"/>
  <c r="N325" i="2"/>
  <c r="N329" i="2"/>
  <c r="N333" i="2"/>
  <c r="N337" i="2"/>
  <c r="N341" i="2"/>
  <c r="N345" i="2"/>
  <c r="N349" i="2"/>
  <c r="N353" i="2"/>
  <c r="N357" i="2"/>
  <c r="N361" i="2"/>
  <c r="N15" i="2"/>
  <c r="M35" i="1" s="1"/>
  <c r="M19" i="2"/>
  <c r="L39" i="1" s="1"/>
  <c r="M23" i="2"/>
  <c r="L43" i="1" s="1"/>
  <c r="M27" i="2"/>
  <c r="L47" i="1" s="1"/>
  <c r="M31" i="2"/>
  <c r="L51" i="1" s="1"/>
  <c r="M35" i="2"/>
  <c r="L55" i="1" s="1"/>
  <c r="M39" i="2"/>
  <c r="L59" i="1" s="1"/>
  <c r="M43" i="2"/>
  <c r="L63" i="1" s="1"/>
  <c r="M47" i="2"/>
  <c r="L67" i="1" s="1"/>
  <c r="M51" i="2"/>
  <c r="L71" i="1" s="1"/>
  <c r="M55" i="2"/>
  <c r="L75" i="1" s="1"/>
  <c r="M59" i="2"/>
  <c r="L79" i="1" s="1"/>
  <c r="M63" i="2"/>
  <c r="L83" i="1" s="1"/>
  <c r="M67" i="2"/>
  <c r="L87" i="1" s="1"/>
  <c r="M71" i="2"/>
  <c r="L91" i="1" s="1"/>
  <c r="M75" i="2"/>
  <c r="L95" i="1" s="1"/>
  <c r="M79" i="2"/>
  <c r="L99" i="1" s="1"/>
  <c r="M83" i="2"/>
  <c r="L103" i="1" s="1"/>
  <c r="M87" i="2"/>
  <c r="L107" i="1" s="1"/>
  <c r="M91" i="2"/>
  <c r="L111" i="1" s="1"/>
  <c r="M95" i="2"/>
  <c r="L115" i="1" s="1"/>
  <c r="M99" i="2"/>
  <c r="L119" i="1" s="1"/>
  <c r="M103" i="2"/>
  <c r="L123" i="1" s="1"/>
  <c r="M107" i="2"/>
  <c r="L127" i="1" s="1"/>
  <c r="M111" i="2"/>
  <c r="L131" i="1" s="1"/>
  <c r="M115" i="2"/>
  <c r="L135" i="1" s="1"/>
  <c r="M119" i="2"/>
  <c r="L139" i="1" s="1"/>
  <c r="M123" i="2"/>
  <c r="L143" i="1" s="1"/>
  <c r="M127" i="2"/>
  <c r="L147" i="1" s="1"/>
  <c r="M131" i="2"/>
  <c r="L151" i="1" s="1"/>
  <c r="M135" i="2"/>
  <c r="L155" i="1" s="1"/>
  <c r="N64" i="2"/>
  <c r="M84" i="1" s="1"/>
  <c r="N80" i="2"/>
  <c r="M100" i="1" s="1"/>
  <c r="N96" i="2"/>
  <c r="M116" i="1" s="1"/>
  <c r="N112" i="2"/>
  <c r="M132" i="1" s="1"/>
  <c r="N128" i="2"/>
  <c r="M148" i="1" s="1"/>
  <c r="N144" i="2"/>
  <c r="M164" i="1" s="1"/>
  <c r="N160" i="2"/>
  <c r="M180" i="1" s="1"/>
  <c r="N176" i="2"/>
  <c r="M196" i="1" s="1"/>
  <c r="N192" i="2"/>
  <c r="M212" i="1" s="1"/>
  <c r="N208" i="2"/>
  <c r="M228" i="1" s="1"/>
  <c r="N224" i="2"/>
  <c r="N235" i="2"/>
  <c r="N243" i="2"/>
  <c r="N251" i="2"/>
  <c r="N259" i="2"/>
  <c r="N267" i="2"/>
  <c r="N275" i="2"/>
  <c r="N283" i="2"/>
  <c r="N291" i="2"/>
  <c r="N299" i="2"/>
  <c r="N307" i="2"/>
  <c r="N315" i="2"/>
  <c r="N323" i="2"/>
  <c r="N331" i="2"/>
  <c r="N339" i="2"/>
  <c r="N347" i="2"/>
  <c r="N355" i="2"/>
  <c r="N363" i="2"/>
  <c r="M21" i="2"/>
  <c r="L41" i="1" s="1"/>
  <c r="M29" i="2"/>
  <c r="L49" i="1" s="1"/>
  <c r="M37" i="2"/>
  <c r="L57" i="1" s="1"/>
  <c r="M45" i="2"/>
  <c r="L65" i="1" s="1"/>
  <c r="M53" i="2"/>
  <c r="L73" i="1" s="1"/>
  <c r="M61" i="2"/>
  <c r="L81" i="1" s="1"/>
  <c r="M69" i="2"/>
  <c r="L89" i="1" s="1"/>
  <c r="M77" i="2"/>
  <c r="L97" i="1" s="1"/>
  <c r="M85" i="2"/>
  <c r="L105" i="1" s="1"/>
  <c r="M93" i="2"/>
  <c r="L113" i="1" s="1"/>
  <c r="M101" i="2"/>
  <c r="L121" i="1" s="1"/>
  <c r="M109" i="2"/>
  <c r="L129" i="1" s="1"/>
  <c r="M117" i="2"/>
  <c r="L137" i="1" s="1"/>
  <c r="M125" i="2"/>
  <c r="L145" i="1" s="1"/>
  <c r="M133" i="2"/>
  <c r="L153" i="1" s="1"/>
  <c r="M138" i="2"/>
  <c r="L158" i="1" s="1"/>
  <c r="M142" i="2"/>
  <c r="L162" i="1" s="1"/>
  <c r="M146" i="2"/>
  <c r="L166" i="1" s="1"/>
  <c r="M150" i="2"/>
  <c r="L170" i="1" s="1"/>
  <c r="M154" i="2"/>
  <c r="L174" i="1" s="1"/>
  <c r="M158" i="2"/>
  <c r="L178" i="1" s="1"/>
  <c r="M162" i="2"/>
  <c r="L182" i="1" s="1"/>
  <c r="M166" i="2"/>
  <c r="L186" i="1" s="1"/>
  <c r="M170" i="2"/>
  <c r="L190" i="1" s="1"/>
  <c r="M174" i="2"/>
  <c r="L194" i="1" s="1"/>
  <c r="M178" i="2"/>
  <c r="L198" i="1" s="1"/>
  <c r="M182" i="2"/>
  <c r="L202" i="1" s="1"/>
  <c r="M186" i="2"/>
  <c r="L206" i="1" s="1"/>
  <c r="M190" i="2"/>
  <c r="L210" i="1" s="1"/>
  <c r="M194" i="2"/>
  <c r="L214" i="1" s="1"/>
  <c r="M198" i="2"/>
  <c r="L218" i="1" s="1"/>
  <c r="M202" i="2"/>
  <c r="L222" i="1" s="1"/>
  <c r="M206" i="2"/>
  <c r="L226" i="1" s="1"/>
  <c r="M210" i="2"/>
  <c r="L230" i="1" s="1"/>
  <c r="M214" i="2"/>
  <c r="L234" i="1" s="1"/>
  <c r="M218" i="2"/>
  <c r="M222" i="2"/>
  <c r="M226" i="2"/>
  <c r="M230" i="2"/>
  <c r="M234" i="2"/>
  <c r="M238" i="2"/>
  <c r="M242" i="2"/>
  <c r="M246" i="2"/>
  <c r="M250" i="2"/>
  <c r="M254" i="2"/>
  <c r="M258" i="2"/>
  <c r="M262" i="2"/>
  <c r="M266" i="2"/>
  <c r="M270" i="2"/>
  <c r="M274" i="2"/>
  <c r="M278" i="2"/>
  <c r="M282" i="2"/>
  <c r="M286" i="2"/>
  <c r="M290" i="2"/>
  <c r="M294" i="2"/>
  <c r="M298" i="2"/>
  <c r="M302" i="2"/>
  <c r="M306" i="2"/>
  <c r="M310" i="2"/>
  <c r="M314" i="2"/>
  <c r="M318" i="2"/>
  <c r="M322" i="2"/>
  <c r="M326" i="2"/>
  <c r="M330" i="2"/>
  <c r="M334" i="2"/>
  <c r="M338" i="2"/>
  <c r="M342" i="2"/>
  <c r="M346" i="2"/>
  <c r="M350" i="2"/>
  <c r="M354" i="2"/>
  <c r="M358" i="2"/>
  <c r="M362" i="2"/>
  <c r="L16" i="2"/>
  <c r="K36" i="1" s="1"/>
  <c r="L20" i="2"/>
  <c r="K40" i="1" s="1"/>
  <c r="L24" i="2"/>
  <c r="K44" i="1" s="1"/>
  <c r="L28" i="2"/>
  <c r="K48" i="1" s="1"/>
  <c r="L32" i="2"/>
  <c r="K52" i="1" s="1"/>
  <c r="L36" i="2"/>
  <c r="K56" i="1" s="1"/>
  <c r="L40" i="2"/>
  <c r="K60" i="1" s="1"/>
  <c r="L44" i="2"/>
  <c r="K64" i="1" s="1"/>
  <c r="L48" i="2"/>
  <c r="K68" i="1" s="1"/>
  <c r="L52" i="2"/>
  <c r="K72" i="1" s="1"/>
  <c r="L56" i="2"/>
  <c r="K76" i="1" s="1"/>
  <c r="L60" i="2"/>
  <c r="K80" i="1" s="1"/>
  <c r="L64" i="2"/>
  <c r="K84" i="1" s="1"/>
  <c r="L68" i="2"/>
  <c r="K88" i="1" s="1"/>
  <c r="L72" i="2"/>
  <c r="K92" i="1" s="1"/>
  <c r="L76" i="2"/>
  <c r="K96" i="1" s="1"/>
  <c r="L80" i="2"/>
  <c r="K100" i="1" s="1"/>
  <c r="L84" i="2"/>
  <c r="K104" i="1" s="1"/>
  <c r="L88" i="2"/>
  <c r="K108" i="1" s="1"/>
  <c r="L92" i="2"/>
  <c r="K112" i="1" s="1"/>
  <c r="L96" i="2"/>
  <c r="K116" i="1" s="1"/>
  <c r="L100" i="2"/>
  <c r="K120" i="1" s="1"/>
  <c r="L104" i="2"/>
  <c r="K124" i="1" s="1"/>
  <c r="L108" i="2"/>
  <c r="K128" i="1" s="1"/>
  <c r="L112" i="2"/>
  <c r="K132" i="1" s="1"/>
  <c r="L116" i="2"/>
  <c r="K136" i="1" s="1"/>
  <c r="L120" i="2"/>
  <c r="K140" i="1" s="1"/>
  <c r="L124" i="2"/>
  <c r="K144" i="1" s="1"/>
  <c r="L128" i="2"/>
  <c r="K148" i="1" s="1"/>
  <c r="L132" i="2"/>
  <c r="K152" i="1" s="1"/>
  <c r="L136" i="2"/>
  <c r="K156" i="1" s="1"/>
  <c r="L140" i="2"/>
  <c r="K160" i="1" s="1"/>
  <c r="L144" i="2"/>
  <c r="K164" i="1" s="1"/>
  <c r="L148" i="2"/>
  <c r="K168" i="1" s="1"/>
  <c r="L152" i="2"/>
  <c r="K172" i="1" s="1"/>
  <c r="L156" i="2"/>
  <c r="K176" i="1" s="1"/>
  <c r="L160" i="2"/>
  <c r="K180" i="1" s="1"/>
  <c r="L164" i="2"/>
  <c r="K184" i="1" s="1"/>
  <c r="L168" i="2"/>
  <c r="K188" i="1" s="1"/>
  <c r="L172" i="2"/>
  <c r="K192" i="1" s="1"/>
  <c r="L176" i="2"/>
  <c r="K196" i="1" s="1"/>
  <c r="L180" i="2"/>
  <c r="K200" i="1" s="1"/>
  <c r="L184" i="2"/>
  <c r="K204" i="1" s="1"/>
  <c r="L188" i="2"/>
  <c r="K208" i="1" s="1"/>
  <c r="L192" i="2"/>
  <c r="K212" i="1" s="1"/>
  <c r="L196" i="2"/>
  <c r="K216" i="1" s="1"/>
  <c r="L200" i="2"/>
  <c r="K220" i="1" s="1"/>
  <c r="L204" i="2"/>
  <c r="K224" i="1" s="1"/>
  <c r="L208" i="2"/>
  <c r="K228" i="1" s="1"/>
  <c r="L212" i="2"/>
  <c r="K232" i="1" s="1"/>
  <c r="L216" i="2"/>
  <c r="L220" i="2"/>
  <c r="L224" i="2"/>
  <c r="L228" i="2"/>
  <c r="L232" i="2"/>
  <c r="L236" i="2"/>
  <c r="L240" i="2"/>
  <c r="L244" i="2"/>
  <c r="L248" i="2"/>
  <c r="L252" i="2"/>
  <c r="L256" i="2"/>
  <c r="L260" i="2"/>
  <c r="L264" i="2"/>
  <c r="L268" i="2"/>
  <c r="L272" i="2"/>
  <c r="L276" i="2"/>
  <c r="L280" i="2"/>
  <c r="L284" i="2"/>
  <c r="L288" i="2"/>
  <c r="L292" i="2"/>
  <c r="L296" i="2"/>
  <c r="L300" i="2"/>
  <c r="L304" i="2"/>
  <c r="L308" i="2"/>
  <c r="L312" i="2"/>
  <c r="L316" i="2"/>
  <c r="L320" i="2"/>
  <c r="L324" i="2"/>
  <c r="L328" i="2"/>
  <c r="L332" i="2"/>
  <c r="L336" i="2"/>
  <c r="L340" i="2"/>
  <c r="L344" i="2"/>
  <c r="L348" i="2"/>
  <c r="L352" i="2"/>
  <c r="L356" i="2"/>
  <c r="L360" i="2"/>
  <c r="L364" i="2"/>
  <c r="K18" i="2"/>
  <c r="J38" i="1" s="1"/>
  <c r="K22" i="2"/>
  <c r="J42" i="1" s="1"/>
  <c r="K26" i="2"/>
  <c r="J46" i="1" s="1"/>
  <c r="K30" i="2"/>
  <c r="J50" i="1" s="1"/>
  <c r="K34" i="2"/>
  <c r="J54" i="1" s="1"/>
  <c r="K38" i="2"/>
  <c r="J58" i="1" s="1"/>
  <c r="K42" i="2"/>
  <c r="J62" i="1" s="1"/>
  <c r="K46" i="2"/>
  <c r="J66" i="1" s="1"/>
  <c r="K50" i="2"/>
  <c r="J70" i="1" s="1"/>
  <c r="K54" i="2"/>
  <c r="J74" i="1" s="1"/>
  <c r="K58" i="2"/>
  <c r="J78" i="1" s="1"/>
  <c r="K62" i="2"/>
  <c r="J82" i="1" s="1"/>
  <c r="K66" i="2"/>
  <c r="J86" i="1" s="1"/>
  <c r="K70" i="2"/>
  <c r="J90" i="1" s="1"/>
  <c r="K74" i="2"/>
  <c r="J94" i="1" s="1"/>
  <c r="K78" i="2"/>
  <c r="J98" i="1" s="1"/>
  <c r="K82" i="2"/>
  <c r="J102" i="1" s="1"/>
  <c r="K86" i="2"/>
  <c r="J106" i="1" s="1"/>
  <c r="K90" i="2"/>
  <c r="J110" i="1" s="1"/>
  <c r="K94" i="2"/>
  <c r="J114" i="1" s="1"/>
  <c r="K98" i="2"/>
  <c r="J118" i="1" s="1"/>
  <c r="K102" i="2"/>
  <c r="J122" i="1" s="1"/>
  <c r="K106" i="2"/>
  <c r="J126" i="1" s="1"/>
  <c r="K110" i="2"/>
  <c r="J130" i="1" s="1"/>
  <c r="K114" i="2"/>
  <c r="J134" i="1" s="1"/>
  <c r="K118" i="2"/>
  <c r="J138" i="1" s="1"/>
  <c r="K122" i="2"/>
  <c r="J142" i="1" s="1"/>
  <c r="K126" i="2"/>
  <c r="J146" i="1" s="1"/>
  <c r="K130" i="2"/>
  <c r="J150" i="1" s="1"/>
  <c r="K134" i="2"/>
  <c r="J154" i="1" s="1"/>
  <c r="K138" i="2"/>
  <c r="J158" i="1" s="1"/>
  <c r="K142" i="2"/>
  <c r="J162" i="1" s="1"/>
  <c r="K146" i="2"/>
  <c r="J166" i="1" s="1"/>
  <c r="K150" i="2"/>
  <c r="J170" i="1" s="1"/>
  <c r="K154" i="2"/>
  <c r="J174" i="1" s="1"/>
  <c r="K158" i="2"/>
  <c r="J178" i="1" s="1"/>
  <c r="K162" i="2"/>
  <c r="J182" i="1" s="1"/>
  <c r="K166" i="2"/>
  <c r="J186" i="1" s="1"/>
  <c r="K170" i="2"/>
  <c r="J190" i="1" s="1"/>
  <c r="K174" i="2"/>
  <c r="J194" i="1" s="1"/>
  <c r="K178" i="2"/>
  <c r="J198" i="1" s="1"/>
  <c r="K182" i="2"/>
  <c r="J202" i="1" s="1"/>
  <c r="K186" i="2"/>
  <c r="J206" i="1" s="1"/>
  <c r="K190" i="2"/>
  <c r="J210" i="1" s="1"/>
  <c r="K194" i="2"/>
  <c r="J214" i="1" s="1"/>
  <c r="K198" i="2"/>
  <c r="J218" i="1" s="1"/>
  <c r="K202" i="2"/>
  <c r="J222" i="1" s="1"/>
  <c r="K206" i="2"/>
  <c r="J226" i="1" s="1"/>
  <c r="K210" i="2"/>
  <c r="J230" i="1" s="1"/>
  <c r="K214" i="2"/>
  <c r="J234" i="1" s="1"/>
  <c r="K218" i="2"/>
  <c r="K222" i="2"/>
  <c r="K226" i="2"/>
  <c r="K230" i="2"/>
  <c r="K234" i="2"/>
  <c r="K238" i="2"/>
  <c r="K242" i="2"/>
  <c r="K246" i="2"/>
  <c r="K250" i="2"/>
  <c r="K254" i="2"/>
  <c r="K258" i="2"/>
  <c r="K262" i="2"/>
  <c r="K266" i="2"/>
  <c r="K270" i="2"/>
  <c r="K274" i="2"/>
  <c r="K278" i="2"/>
  <c r="K282" i="2"/>
  <c r="K286" i="2"/>
  <c r="K290" i="2"/>
  <c r="K294" i="2"/>
  <c r="K298" i="2"/>
  <c r="K302" i="2"/>
  <c r="K306" i="2"/>
  <c r="K310" i="2"/>
  <c r="K314" i="2"/>
  <c r="K318" i="2"/>
  <c r="K322" i="2"/>
  <c r="K326" i="2"/>
  <c r="K330" i="2"/>
  <c r="K334" i="2"/>
  <c r="K338" i="2"/>
  <c r="K342" i="2"/>
  <c r="K346" i="2"/>
  <c r="K350" i="2"/>
  <c r="K354" i="2"/>
  <c r="K358" i="2"/>
  <c r="K362" i="2"/>
  <c r="J16" i="2"/>
  <c r="I36" i="1" s="1"/>
  <c r="J20" i="2"/>
  <c r="I40" i="1" s="1"/>
  <c r="J24" i="2"/>
  <c r="I44" i="1" s="1"/>
  <c r="J28" i="2"/>
  <c r="I48" i="1" s="1"/>
  <c r="J32" i="2"/>
  <c r="I52" i="1" s="1"/>
  <c r="J36" i="2"/>
  <c r="I56" i="1" s="1"/>
  <c r="J40" i="2"/>
  <c r="I60" i="1" s="1"/>
  <c r="J44" i="2"/>
  <c r="I64" i="1" s="1"/>
  <c r="J48" i="2"/>
  <c r="I68" i="1" s="1"/>
  <c r="J52" i="2"/>
  <c r="I72" i="1" s="1"/>
  <c r="J56" i="2"/>
  <c r="I76" i="1" s="1"/>
  <c r="J60" i="2"/>
  <c r="I80" i="1" s="1"/>
  <c r="J64" i="2"/>
  <c r="I84" i="1" s="1"/>
  <c r="J68" i="2"/>
  <c r="I88" i="1" s="1"/>
  <c r="J72" i="2"/>
  <c r="I92" i="1" s="1"/>
  <c r="J76" i="2"/>
  <c r="I96" i="1" s="1"/>
  <c r="J80" i="2"/>
  <c r="I100" i="1" s="1"/>
  <c r="J84" i="2"/>
  <c r="I104" i="1" s="1"/>
  <c r="J88" i="2"/>
  <c r="I108" i="1" s="1"/>
  <c r="J92" i="2"/>
  <c r="I112" i="1" s="1"/>
  <c r="J96" i="2"/>
  <c r="I116" i="1" s="1"/>
  <c r="J100" i="2"/>
  <c r="I120" i="1" s="1"/>
  <c r="J104" i="2"/>
  <c r="I124" i="1" s="1"/>
  <c r="J108" i="2"/>
  <c r="I128" i="1" s="1"/>
  <c r="J112" i="2"/>
  <c r="I132" i="1" s="1"/>
  <c r="J116" i="2"/>
  <c r="I136" i="1" s="1"/>
  <c r="J120" i="2"/>
  <c r="I140" i="1" s="1"/>
  <c r="J124" i="2"/>
  <c r="I144" i="1" s="1"/>
  <c r="J128" i="2"/>
  <c r="I148" i="1" s="1"/>
  <c r="J132" i="2"/>
  <c r="I152" i="1" s="1"/>
  <c r="J136" i="2"/>
  <c r="I156" i="1" s="1"/>
  <c r="J140" i="2"/>
  <c r="I160" i="1" s="1"/>
  <c r="J144" i="2"/>
  <c r="I164" i="1" s="1"/>
  <c r="J148" i="2"/>
  <c r="I168" i="1" s="1"/>
  <c r="J152" i="2"/>
  <c r="I172" i="1" s="1"/>
  <c r="J156" i="2"/>
  <c r="I176" i="1" s="1"/>
  <c r="J160" i="2"/>
  <c r="I180" i="1" s="1"/>
  <c r="J164" i="2"/>
  <c r="I184" i="1" s="1"/>
  <c r="J168" i="2"/>
  <c r="I188" i="1" s="1"/>
  <c r="J172" i="2"/>
  <c r="I192" i="1" s="1"/>
  <c r="J176" i="2"/>
  <c r="I196" i="1" s="1"/>
  <c r="J180" i="2"/>
  <c r="I200" i="1" s="1"/>
  <c r="J184" i="2"/>
  <c r="I204" i="1" s="1"/>
  <c r="J188" i="2"/>
  <c r="I208" i="1" s="1"/>
  <c r="J192" i="2"/>
  <c r="I212" i="1" s="1"/>
  <c r="J196" i="2"/>
  <c r="I216" i="1" s="1"/>
  <c r="J200" i="2"/>
  <c r="I220" i="1" s="1"/>
  <c r="J204" i="2"/>
  <c r="I224" i="1" s="1"/>
  <c r="J208" i="2"/>
  <c r="I228" i="1" s="1"/>
  <c r="J212" i="2"/>
  <c r="I232" i="1" s="1"/>
  <c r="J216" i="2"/>
  <c r="J220" i="2"/>
  <c r="J224" i="2"/>
  <c r="J228" i="2"/>
  <c r="J232" i="2"/>
  <c r="J236" i="2"/>
  <c r="J240" i="2"/>
  <c r="J244" i="2"/>
  <c r="J248" i="2"/>
  <c r="J252" i="2"/>
  <c r="J256" i="2"/>
  <c r="J260" i="2"/>
  <c r="J264" i="2"/>
  <c r="J268" i="2"/>
  <c r="J272" i="2"/>
  <c r="J276" i="2"/>
  <c r="J280" i="2"/>
  <c r="J284" i="2"/>
  <c r="J288" i="2"/>
  <c r="J292" i="2"/>
  <c r="J296" i="2"/>
  <c r="J300" i="2"/>
  <c r="J304" i="2"/>
  <c r="J308" i="2"/>
  <c r="J312" i="2"/>
  <c r="J316" i="2"/>
  <c r="J320" i="2"/>
  <c r="J324" i="2"/>
  <c r="J328" i="2"/>
  <c r="J332" i="2"/>
  <c r="J336" i="2"/>
  <c r="J340" i="2"/>
  <c r="J344" i="2"/>
  <c r="J348" i="2"/>
  <c r="J352" i="2"/>
  <c r="J356" i="2"/>
  <c r="J360" i="2"/>
  <c r="J364" i="2"/>
  <c r="I17" i="2"/>
  <c r="H37" i="1" s="1"/>
  <c r="I22" i="2"/>
  <c r="H42" i="1" s="1"/>
  <c r="I26" i="2"/>
  <c r="H46" i="1" s="1"/>
  <c r="I30" i="2"/>
  <c r="H50" i="1" s="1"/>
  <c r="I34" i="2"/>
  <c r="H54" i="1" s="1"/>
  <c r="I38" i="2"/>
  <c r="H58" i="1" s="1"/>
  <c r="I42" i="2"/>
  <c r="H62" i="1" s="1"/>
  <c r="I46" i="2"/>
  <c r="H66" i="1" s="1"/>
  <c r="I50" i="2"/>
  <c r="H70" i="1" s="1"/>
  <c r="I54" i="2"/>
  <c r="H74" i="1" s="1"/>
  <c r="I58" i="2"/>
  <c r="H78" i="1" s="1"/>
  <c r="I62" i="2"/>
  <c r="H82" i="1" s="1"/>
  <c r="I66" i="2"/>
  <c r="H86" i="1" s="1"/>
  <c r="I70" i="2"/>
  <c r="H90" i="1" s="1"/>
  <c r="I74" i="2"/>
  <c r="H94" i="1" s="1"/>
  <c r="I78" i="2"/>
  <c r="H98" i="1" s="1"/>
  <c r="I82" i="2"/>
  <c r="H102" i="1" s="1"/>
  <c r="I86" i="2"/>
  <c r="H106" i="1" s="1"/>
  <c r="I90" i="2"/>
  <c r="H110" i="1" s="1"/>
  <c r="I94" i="2"/>
  <c r="H114" i="1" s="1"/>
  <c r="I98" i="2"/>
  <c r="H118" i="1" s="1"/>
  <c r="I102" i="2"/>
  <c r="H122" i="1" s="1"/>
  <c r="I106" i="2"/>
  <c r="H126" i="1" s="1"/>
  <c r="I110" i="2"/>
  <c r="H130" i="1" s="1"/>
  <c r="I114" i="2"/>
  <c r="H134" i="1" s="1"/>
  <c r="I118" i="2"/>
  <c r="H138" i="1" s="1"/>
  <c r="I122" i="2"/>
  <c r="H142" i="1" s="1"/>
  <c r="I126" i="2"/>
  <c r="H146" i="1" s="1"/>
  <c r="I130" i="2"/>
  <c r="H150" i="1" s="1"/>
  <c r="I134" i="2"/>
  <c r="H154" i="1" s="1"/>
  <c r="I138" i="2"/>
  <c r="H158" i="1" s="1"/>
  <c r="I142" i="2"/>
  <c r="H162" i="1" s="1"/>
  <c r="I146" i="2"/>
  <c r="H166" i="1" s="1"/>
  <c r="I150" i="2"/>
  <c r="H170" i="1" s="1"/>
  <c r="I154" i="2"/>
  <c r="H174" i="1" s="1"/>
  <c r="I158" i="2"/>
  <c r="H178" i="1" s="1"/>
  <c r="I162" i="2"/>
  <c r="H182" i="1" s="1"/>
  <c r="I166" i="2"/>
  <c r="H186" i="1" s="1"/>
  <c r="I170" i="2"/>
  <c r="H190" i="1" s="1"/>
  <c r="I174" i="2"/>
  <c r="H194" i="1" s="1"/>
  <c r="I178" i="2"/>
  <c r="H198" i="1" s="1"/>
  <c r="I182" i="2"/>
  <c r="H202" i="1" s="1"/>
  <c r="I186" i="2"/>
  <c r="H206" i="1" s="1"/>
  <c r="I190" i="2"/>
  <c r="H210" i="1" s="1"/>
  <c r="I194" i="2"/>
  <c r="H214" i="1" s="1"/>
  <c r="I198" i="2"/>
  <c r="H218" i="1" s="1"/>
  <c r="I202" i="2"/>
  <c r="H222" i="1" s="1"/>
  <c r="I206" i="2"/>
  <c r="H226" i="1" s="1"/>
  <c r="I210" i="2"/>
  <c r="H230" i="1" s="1"/>
  <c r="I214" i="2"/>
  <c r="H234" i="1" s="1"/>
  <c r="I218" i="2"/>
  <c r="I222" i="2"/>
  <c r="I226" i="2"/>
  <c r="I230" i="2"/>
  <c r="I234" i="2"/>
  <c r="I238" i="2"/>
  <c r="I242" i="2"/>
  <c r="I246" i="2"/>
  <c r="I250" i="2"/>
  <c r="I254" i="2"/>
  <c r="I258" i="2"/>
  <c r="I262" i="2"/>
  <c r="I266" i="2"/>
  <c r="I270" i="2"/>
  <c r="I274" i="2"/>
  <c r="I278" i="2"/>
  <c r="I282" i="2"/>
  <c r="I286" i="2"/>
  <c r="I290" i="2"/>
  <c r="I294" i="2"/>
  <c r="I298" i="2"/>
  <c r="I302" i="2"/>
  <c r="I306" i="2"/>
  <c r="I310" i="2"/>
  <c r="I314" i="2"/>
  <c r="N60" i="2"/>
  <c r="M80" i="1" s="1"/>
  <c r="N76" i="2"/>
  <c r="M96" i="1" s="1"/>
  <c r="N92" i="2"/>
  <c r="M112" i="1" s="1"/>
  <c r="N108" i="2"/>
  <c r="M128" i="1" s="1"/>
  <c r="N124" i="2"/>
  <c r="M144" i="1" s="1"/>
  <c r="N140" i="2"/>
  <c r="M160" i="1" s="1"/>
  <c r="N156" i="2"/>
  <c r="M176" i="1" s="1"/>
  <c r="N172" i="2"/>
  <c r="M192" i="1" s="1"/>
  <c r="N188" i="2"/>
  <c r="M208" i="1" s="1"/>
  <c r="N204" i="2"/>
  <c r="M224" i="1" s="1"/>
  <c r="N220" i="2"/>
  <c r="N232" i="2"/>
  <c r="N240" i="2"/>
  <c r="N248" i="2"/>
  <c r="N256" i="2"/>
  <c r="N264" i="2"/>
  <c r="N272" i="2"/>
  <c r="N280" i="2"/>
  <c r="N288" i="2"/>
  <c r="N296" i="2"/>
  <c r="N304" i="2"/>
  <c r="N312" i="2"/>
  <c r="N320" i="2"/>
  <c r="N328" i="2"/>
  <c r="N336" i="2"/>
  <c r="N344" i="2"/>
  <c r="N352" i="2"/>
  <c r="N360" i="2"/>
  <c r="M18" i="2"/>
  <c r="L38" i="1" s="1"/>
  <c r="M26" i="2"/>
  <c r="L46" i="1" s="1"/>
  <c r="M34" i="2"/>
  <c r="L54" i="1" s="1"/>
  <c r="M42" i="2"/>
  <c r="L62" i="1" s="1"/>
  <c r="M50" i="2"/>
  <c r="L70" i="1" s="1"/>
  <c r="M58" i="2"/>
  <c r="L78" i="1" s="1"/>
  <c r="M66" i="2"/>
  <c r="L86" i="1" s="1"/>
  <c r="M74" i="2"/>
  <c r="L94" i="1" s="1"/>
  <c r="M82" i="2"/>
  <c r="L102" i="1" s="1"/>
  <c r="M90" i="2"/>
  <c r="L110" i="1" s="1"/>
  <c r="M98" i="2"/>
  <c r="L118" i="1" s="1"/>
  <c r="M106" i="2"/>
  <c r="L126" i="1" s="1"/>
  <c r="M114" i="2"/>
  <c r="L134" i="1" s="1"/>
  <c r="M122" i="2"/>
  <c r="L142" i="1" s="1"/>
  <c r="M130" i="2"/>
  <c r="L150" i="1" s="1"/>
  <c r="M137" i="2"/>
  <c r="L157" i="1" s="1"/>
  <c r="M141" i="2"/>
  <c r="L161" i="1" s="1"/>
  <c r="M145" i="2"/>
  <c r="L165" i="1" s="1"/>
  <c r="M149" i="2"/>
  <c r="L169" i="1" s="1"/>
  <c r="M153" i="2"/>
  <c r="L173" i="1" s="1"/>
  <c r="M157" i="2"/>
  <c r="L177" i="1" s="1"/>
  <c r="M161" i="2"/>
  <c r="L181" i="1" s="1"/>
  <c r="M165" i="2"/>
  <c r="L185" i="1" s="1"/>
  <c r="M169" i="2"/>
  <c r="L189" i="1" s="1"/>
  <c r="M173" i="2"/>
  <c r="L193" i="1" s="1"/>
  <c r="M177" i="2"/>
  <c r="L197" i="1" s="1"/>
  <c r="M181" i="2"/>
  <c r="L201" i="1" s="1"/>
  <c r="M185" i="2"/>
  <c r="L205" i="1" s="1"/>
  <c r="M189" i="2"/>
  <c r="L209" i="1" s="1"/>
  <c r="M193" i="2"/>
  <c r="L213" i="1" s="1"/>
  <c r="M197" i="2"/>
  <c r="L217" i="1" s="1"/>
  <c r="M201" i="2"/>
  <c r="L221" i="1" s="1"/>
  <c r="M205" i="2"/>
  <c r="L225" i="1" s="1"/>
  <c r="M209" i="2"/>
  <c r="L229" i="1" s="1"/>
  <c r="M213" i="2"/>
  <c r="L233" i="1" s="1"/>
  <c r="M217" i="2"/>
  <c r="M221" i="2"/>
  <c r="M225" i="2"/>
  <c r="M229" i="2"/>
  <c r="M233" i="2"/>
  <c r="M237" i="2"/>
  <c r="M241" i="2"/>
  <c r="M245" i="2"/>
  <c r="M249" i="2"/>
  <c r="M253" i="2"/>
  <c r="M257" i="2"/>
  <c r="M261" i="2"/>
  <c r="M265" i="2"/>
  <c r="M269" i="2"/>
  <c r="M273" i="2"/>
  <c r="M277" i="2"/>
  <c r="M281" i="2"/>
  <c r="M285" i="2"/>
  <c r="M289" i="2"/>
  <c r="M293" i="2"/>
  <c r="M297" i="2"/>
  <c r="M301" i="2"/>
  <c r="M305" i="2"/>
  <c r="M309" i="2"/>
  <c r="M313" i="2"/>
  <c r="M317" i="2"/>
  <c r="M321" i="2"/>
  <c r="M325" i="2"/>
  <c r="M329" i="2"/>
  <c r="M333" i="2"/>
  <c r="M337" i="2"/>
  <c r="M341" i="2"/>
  <c r="M345" i="2"/>
  <c r="M349" i="2"/>
  <c r="M353" i="2"/>
  <c r="M357" i="2"/>
  <c r="M361" i="2"/>
  <c r="M15" i="2"/>
  <c r="L35" i="1" s="1"/>
  <c r="L19" i="2"/>
  <c r="K39" i="1" s="1"/>
  <c r="L23" i="2"/>
  <c r="K43" i="1" s="1"/>
  <c r="L27" i="2"/>
  <c r="K47" i="1" s="1"/>
  <c r="L31" i="2"/>
  <c r="K51" i="1" s="1"/>
  <c r="L35" i="2"/>
  <c r="K55" i="1" s="1"/>
  <c r="L39" i="2"/>
  <c r="K59" i="1" s="1"/>
  <c r="L43" i="2"/>
  <c r="K63" i="1" s="1"/>
  <c r="L47" i="2"/>
  <c r="K67" i="1" s="1"/>
  <c r="L51" i="2"/>
  <c r="K71" i="1" s="1"/>
  <c r="L55" i="2"/>
  <c r="K75" i="1" s="1"/>
  <c r="L59" i="2"/>
  <c r="K79" i="1" s="1"/>
  <c r="L63" i="2"/>
  <c r="K83" i="1" s="1"/>
  <c r="L67" i="2"/>
  <c r="K87" i="1" s="1"/>
  <c r="L71" i="2"/>
  <c r="K91" i="1" s="1"/>
  <c r="L75" i="2"/>
  <c r="K95" i="1" s="1"/>
  <c r="L79" i="2"/>
  <c r="K99" i="1" s="1"/>
  <c r="L83" i="2"/>
  <c r="K103" i="1" s="1"/>
  <c r="L87" i="2"/>
  <c r="K107" i="1" s="1"/>
  <c r="L91" i="2"/>
  <c r="K111" i="1" s="1"/>
  <c r="L95" i="2"/>
  <c r="K115" i="1" s="1"/>
  <c r="L99" i="2"/>
  <c r="K119" i="1" s="1"/>
  <c r="L103" i="2"/>
  <c r="K123" i="1" s="1"/>
  <c r="L107" i="2"/>
  <c r="K127" i="1" s="1"/>
  <c r="L111" i="2"/>
  <c r="K131" i="1" s="1"/>
  <c r="L115" i="2"/>
  <c r="K135" i="1" s="1"/>
  <c r="L119" i="2"/>
  <c r="K139" i="1" s="1"/>
  <c r="L123" i="2"/>
  <c r="K143" i="1" s="1"/>
  <c r="L127" i="2"/>
  <c r="K147" i="1" s="1"/>
  <c r="L131" i="2"/>
  <c r="K151" i="1" s="1"/>
  <c r="L135" i="2"/>
  <c r="K155" i="1" s="1"/>
  <c r="L139" i="2"/>
  <c r="K159" i="1" s="1"/>
  <c r="L143" i="2"/>
  <c r="K163" i="1" s="1"/>
  <c r="L147" i="2"/>
  <c r="K167" i="1" s="1"/>
  <c r="L151" i="2"/>
  <c r="K171" i="1" s="1"/>
  <c r="L155" i="2"/>
  <c r="K175" i="1" s="1"/>
  <c r="L159" i="2"/>
  <c r="K179" i="1" s="1"/>
  <c r="L163" i="2"/>
  <c r="K183" i="1" s="1"/>
  <c r="L167" i="2"/>
  <c r="K187" i="1" s="1"/>
  <c r="L171" i="2"/>
  <c r="K191" i="1" s="1"/>
  <c r="L175" i="2"/>
  <c r="K195" i="1" s="1"/>
  <c r="L179" i="2"/>
  <c r="K199" i="1" s="1"/>
  <c r="L183" i="2"/>
  <c r="K203" i="1" s="1"/>
  <c r="L187" i="2"/>
  <c r="K207" i="1" s="1"/>
  <c r="L191" i="2"/>
  <c r="K211" i="1" s="1"/>
  <c r="L195" i="2"/>
  <c r="K215" i="1" s="1"/>
  <c r="L199" i="2"/>
  <c r="K219" i="1" s="1"/>
  <c r="L203" i="2"/>
  <c r="K223" i="1" s="1"/>
  <c r="L207" i="2"/>
  <c r="K227" i="1" s="1"/>
  <c r="L211" i="2"/>
  <c r="K231" i="1" s="1"/>
  <c r="L215" i="2"/>
  <c r="L219" i="2"/>
  <c r="L223" i="2"/>
  <c r="L227" i="2"/>
  <c r="L231" i="2"/>
  <c r="L235" i="2"/>
  <c r="L239" i="2"/>
  <c r="L243" i="2"/>
  <c r="L247" i="2"/>
  <c r="L251" i="2"/>
  <c r="L255" i="2"/>
  <c r="L259" i="2"/>
  <c r="L263" i="2"/>
  <c r="L267" i="2"/>
  <c r="L271" i="2"/>
  <c r="L275" i="2"/>
  <c r="L279" i="2"/>
  <c r="L283" i="2"/>
  <c r="L287" i="2"/>
  <c r="L291" i="2"/>
  <c r="L295" i="2"/>
  <c r="L299" i="2"/>
  <c r="L303" i="2"/>
  <c r="L307" i="2"/>
  <c r="L311" i="2"/>
  <c r="L315" i="2"/>
  <c r="L319" i="2"/>
  <c r="L323" i="2"/>
  <c r="L327" i="2"/>
  <c r="L331" i="2"/>
  <c r="L335" i="2"/>
  <c r="L339" i="2"/>
  <c r="L343" i="2"/>
  <c r="L347" i="2"/>
  <c r="L351" i="2"/>
  <c r="L355" i="2"/>
  <c r="L359" i="2"/>
  <c r="L363" i="2"/>
  <c r="K17" i="2"/>
  <c r="J37" i="1" s="1"/>
  <c r="K21" i="2"/>
  <c r="J41" i="1" s="1"/>
  <c r="K25" i="2"/>
  <c r="J45" i="1" s="1"/>
  <c r="K29" i="2"/>
  <c r="J49" i="1" s="1"/>
  <c r="K33" i="2"/>
  <c r="J53" i="1" s="1"/>
  <c r="K37" i="2"/>
  <c r="J57" i="1" s="1"/>
  <c r="K41" i="2"/>
  <c r="J61" i="1" s="1"/>
  <c r="K45" i="2"/>
  <c r="J65" i="1" s="1"/>
  <c r="K49" i="2"/>
  <c r="J69" i="1" s="1"/>
  <c r="K53" i="2"/>
  <c r="J73" i="1" s="1"/>
  <c r="K57" i="2"/>
  <c r="J77" i="1" s="1"/>
  <c r="K61" i="2"/>
  <c r="J81" i="1" s="1"/>
  <c r="K65" i="2"/>
  <c r="J85" i="1" s="1"/>
  <c r="K69" i="2"/>
  <c r="J89" i="1" s="1"/>
  <c r="K73" i="2"/>
  <c r="J93" i="1" s="1"/>
  <c r="K77" i="2"/>
  <c r="J97" i="1" s="1"/>
  <c r="K81" i="2"/>
  <c r="J101" i="1" s="1"/>
  <c r="K85" i="2"/>
  <c r="J105" i="1" s="1"/>
  <c r="K89" i="2"/>
  <c r="J109" i="1" s="1"/>
  <c r="K93" i="2"/>
  <c r="J113" i="1" s="1"/>
  <c r="K97" i="2"/>
  <c r="J117" i="1" s="1"/>
  <c r="K101" i="2"/>
  <c r="J121" i="1" s="1"/>
  <c r="K105" i="2"/>
  <c r="J125" i="1" s="1"/>
  <c r="K109" i="2"/>
  <c r="J129" i="1" s="1"/>
  <c r="K113" i="2"/>
  <c r="J133" i="1" s="1"/>
  <c r="K117" i="2"/>
  <c r="J137" i="1" s="1"/>
  <c r="K121" i="2"/>
  <c r="J141" i="1" s="1"/>
  <c r="K125" i="2"/>
  <c r="J145" i="1" s="1"/>
  <c r="K129" i="2"/>
  <c r="J149" i="1" s="1"/>
  <c r="K133" i="2"/>
  <c r="J153" i="1" s="1"/>
  <c r="K137" i="2"/>
  <c r="J157" i="1" s="1"/>
  <c r="K141" i="2"/>
  <c r="J161" i="1" s="1"/>
  <c r="K145" i="2"/>
  <c r="J165" i="1" s="1"/>
  <c r="K149" i="2"/>
  <c r="J169" i="1" s="1"/>
  <c r="K153" i="2"/>
  <c r="J173" i="1" s="1"/>
  <c r="K157" i="2"/>
  <c r="J177" i="1" s="1"/>
  <c r="K161" i="2"/>
  <c r="J181" i="1" s="1"/>
  <c r="K165" i="2"/>
  <c r="J185" i="1" s="1"/>
  <c r="K169" i="2"/>
  <c r="J189" i="1" s="1"/>
  <c r="K173" i="2"/>
  <c r="J193" i="1" s="1"/>
  <c r="K177" i="2"/>
  <c r="J197" i="1" s="1"/>
  <c r="K181" i="2"/>
  <c r="J201" i="1" s="1"/>
  <c r="K185" i="2"/>
  <c r="J205" i="1" s="1"/>
  <c r="K189" i="2"/>
  <c r="J209" i="1" s="1"/>
  <c r="K193" i="2"/>
  <c r="J213" i="1" s="1"/>
  <c r="K197" i="2"/>
  <c r="J217" i="1" s="1"/>
  <c r="K201" i="2"/>
  <c r="J221" i="1" s="1"/>
  <c r="K205" i="2"/>
  <c r="J225" i="1" s="1"/>
  <c r="K209" i="2"/>
  <c r="J229" i="1" s="1"/>
  <c r="K213" i="2"/>
  <c r="J233" i="1" s="1"/>
  <c r="K217" i="2"/>
  <c r="K221" i="2"/>
  <c r="K225" i="2"/>
  <c r="K229" i="2"/>
  <c r="K233" i="2"/>
  <c r="K237" i="2"/>
  <c r="K241" i="2"/>
  <c r="K245" i="2"/>
  <c r="K249" i="2"/>
  <c r="K253" i="2"/>
  <c r="K257" i="2"/>
  <c r="K261" i="2"/>
  <c r="K265" i="2"/>
  <c r="K269" i="2"/>
  <c r="K273" i="2"/>
  <c r="K277" i="2"/>
  <c r="K281" i="2"/>
  <c r="K285" i="2"/>
  <c r="K289" i="2"/>
  <c r="K293" i="2"/>
  <c r="K297" i="2"/>
  <c r="K301" i="2"/>
  <c r="K305" i="2"/>
  <c r="K309" i="2"/>
  <c r="K313" i="2"/>
  <c r="K317" i="2"/>
  <c r="K321" i="2"/>
  <c r="K325" i="2"/>
  <c r="K329" i="2"/>
  <c r="K333" i="2"/>
  <c r="K337" i="2"/>
  <c r="K341" i="2"/>
  <c r="K345" i="2"/>
  <c r="K349" i="2"/>
  <c r="K353" i="2"/>
  <c r="K357" i="2"/>
  <c r="K361" i="2"/>
  <c r="K15" i="2"/>
  <c r="J35" i="1" s="1"/>
  <c r="J19" i="2"/>
  <c r="I39" i="1" s="1"/>
  <c r="J23" i="2"/>
  <c r="I43" i="1" s="1"/>
  <c r="J27" i="2"/>
  <c r="I47" i="1" s="1"/>
  <c r="J31" i="2"/>
  <c r="I51" i="1" s="1"/>
  <c r="J35" i="2"/>
  <c r="I55" i="1" s="1"/>
  <c r="J39" i="2"/>
  <c r="I59" i="1" s="1"/>
  <c r="J43" i="2"/>
  <c r="I63" i="1" s="1"/>
  <c r="J47" i="2"/>
  <c r="I67" i="1" s="1"/>
  <c r="J51" i="2"/>
  <c r="I71" i="1" s="1"/>
  <c r="J55" i="2"/>
  <c r="I75" i="1" s="1"/>
  <c r="J59" i="2"/>
  <c r="I79" i="1" s="1"/>
  <c r="J63" i="2"/>
  <c r="I83" i="1" s="1"/>
  <c r="J67" i="2"/>
  <c r="I87" i="1" s="1"/>
  <c r="J71" i="2"/>
  <c r="I91" i="1" s="1"/>
  <c r="J75" i="2"/>
  <c r="I95" i="1" s="1"/>
  <c r="J79" i="2"/>
  <c r="I99" i="1" s="1"/>
  <c r="J83" i="2"/>
  <c r="I103" i="1" s="1"/>
  <c r="J87" i="2"/>
  <c r="I107" i="1" s="1"/>
  <c r="J91" i="2"/>
  <c r="I111" i="1" s="1"/>
  <c r="J95" i="2"/>
  <c r="I115" i="1" s="1"/>
  <c r="J99" i="2"/>
  <c r="I119" i="1" s="1"/>
  <c r="J103" i="2"/>
  <c r="I123" i="1" s="1"/>
  <c r="J107" i="2"/>
  <c r="I127" i="1" s="1"/>
  <c r="J111" i="2"/>
  <c r="I131" i="1" s="1"/>
  <c r="J115" i="2"/>
  <c r="I135" i="1" s="1"/>
  <c r="J119" i="2"/>
  <c r="I139" i="1" s="1"/>
  <c r="J123" i="2"/>
  <c r="I143" i="1" s="1"/>
  <c r="J127" i="2"/>
  <c r="I147" i="1" s="1"/>
  <c r="J131" i="2"/>
  <c r="I151" i="1" s="1"/>
  <c r="J135" i="2"/>
  <c r="I155" i="1" s="1"/>
  <c r="J139" i="2"/>
  <c r="I159" i="1" s="1"/>
  <c r="J143" i="2"/>
  <c r="I163" i="1" s="1"/>
  <c r="J147" i="2"/>
  <c r="I167" i="1" s="1"/>
  <c r="J151" i="2"/>
  <c r="I171" i="1" s="1"/>
  <c r="J155" i="2"/>
  <c r="I175" i="1" s="1"/>
  <c r="J159" i="2"/>
  <c r="I179" i="1" s="1"/>
  <c r="J163" i="2"/>
  <c r="I183" i="1" s="1"/>
  <c r="J167" i="2"/>
  <c r="I187" i="1" s="1"/>
  <c r="J171" i="2"/>
  <c r="I191" i="1" s="1"/>
  <c r="J175" i="2"/>
  <c r="I195" i="1" s="1"/>
  <c r="J179" i="2"/>
  <c r="I199" i="1" s="1"/>
  <c r="J183" i="2"/>
  <c r="I203" i="1" s="1"/>
  <c r="J187" i="2"/>
  <c r="I207" i="1" s="1"/>
  <c r="J191" i="2"/>
  <c r="I211" i="1" s="1"/>
  <c r="J195" i="2"/>
  <c r="I215" i="1" s="1"/>
  <c r="J199" i="2"/>
  <c r="I219" i="1" s="1"/>
  <c r="J203" i="2"/>
  <c r="I223" i="1" s="1"/>
  <c r="J207" i="2"/>
  <c r="I227" i="1" s="1"/>
  <c r="J211" i="2"/>
  <c r="I231" i="1" s="1"/>
  <c r="J215" i="2"/>
  <c r="J219" i="2"/>
  <c r="J223" i="2"/>
  <c r="J227" i="2"/>
  <c r="J231" i="2"/>
  <c r="J235" i="2"/>
  <c r="J239" i="2"/>
  <c r="J243" i="2"/>
  <c r="J247" i="2"/>
  <c r="J251" i="2"/>
  <c r="J255" i="2"/>
  <c r="J259" i="2"/>
  <c r="J263" i="2"/>
  <c r="J267" i="2"/>
  <c r="J271" i="2"/>
  <c r="J275" i="2"/>
  <c r="J279" i="2"/>
  <c r="J283" i="2"/>
  <c r="J287" i="2"/>
  <c r="J291" i="2"/>
  <c r="J295" i="2"/>
  <c r="J299" i="2"/>
  <c r="J303" i="2"/>
  <c r="J307" i="2"/>
  <c r="J311" i="2"/>
  <c r="J315" i="2"/>
  <c r="J319" i="2"/>
  <c r="J323" i="2"/>
  <c r="J327" i="2"/>
  <c r="J331" i="2"/>
  <c r="J335" i="2"/>
  <c r="J339" i="2"/>
  <c r="J343" i="2"/>
  <c r="J347" i="2"/>
  <c r="J351" i="2"/>
  <c r="J355" i="2"/>
  <c r="J359" i="2"/>
  <c r="J363" i="2"/>
  <c r="I16" i="2"/>
  <c r="H36" i="1" s="1"/>
  <c r="I21" i="2"/>
  <c r="H41" i="1" s="1"/>
  <c r="I25" i="2"/>
  <c r="H45" i="1" s="1"/>
  <c r="I29" i="2"/>
  <c r="H49" i="1" s="1"/>
  <c r="I33" i="2"/>
  <c r="H53" i="1" s="1"/>
  <c r="I37" i="2"/>
  <c r="H57" i="1" s="1"/>
  <c r="I41" i="2"/>
  <c r="H61" i="1" s="1"/>
  <c r="I45" i="2"/>
  <c r="H65" i="1" s="1"/>
  <c r="I49" i="2"/>
  <c r="H69" i="1" s="1"/>
  <c r="I53" i="2"/>
  <c r="H73" i="1" s="1"/>
  <c r="I57" i="2"/>
  <c r="H77" i="1" s="1"/>
  <c r="I61" i="2"/>
  <c r="H81" i="1" s="1"/>
  <c r="I65" i="2"/>
  <c r="H85" i="1" s="1"/>
  <c r="I69" i="2"/>
  <c r="H89" i="1" s="1"/>
  <c r="I73" i="2"/>
  <c r="H93" i="1" s="1"/>
  <c r="I77" i="2"/>
  <c r="H97" i="1" s="1"/>
  <c r="I81" i="2"/>
  <c r="H101" i="1" s="1"/>
  <c r="I85" i="2"/>
  <c r="H105" i="1" s="1"/>
  <c r="I89" i="2"/>
  <c r="H109" i="1" s="1"/>
  <c r="I93" i="2"/>
  <c r="H113" i="1" s="1"/>
  <c r="I97" i="2"/>
  <c r="H117" i="1" s="1"/>
  <c r="I101" i="2"/>
  <c r="H121" i="1" s="1"/>
  <c r="I105" i="2"/>
  <c r="H125" i="1" s="1"/>
  <c r="I109" i="2"/>
  <c r="H129" i="1" s="1"/>
  <c r="I113" i="2"/>
  <c r="H133" i="1" s="1"/>
  <c r="I117" i="2"/>
  <c r="H137" i="1" s="1"/>
  <c r="I121" i="2"/>
  <c r="H141" i="1" s="1"/>
  <c r="I125" i="2"/>
  <c r="H145" i="1" s="1"/>
  <c r="I129" i="2"/>
  <c r="H149" i="1" s="1"/>
  <c r="I133" i="2"/>
  <c r="H153" i="1" s="1"/>
  <c r="I137" i="2"/>
  <c r="H157" i="1" s="1"/>
  <c r="I141" i="2"/>
  <c r="H161" i="1" s="1"/>
  <c r="I145" i="2"/>
  <c r="H165" i="1" s="1"/>
  <c r="I149" i="2"/>
  <c r="H169" i="1" s="1"/>
  <c r="I153" i="2"/>
  <c r="H173" i="1" s="1"/>
  <c r="I157" i="2"/>
  <c r="H177" i="1" s="1"/>
  <c r="I161" i="2"/>
  <c r="H181" i="1" s="1"/>
  <c r="I165" i="2"/>
  <c r="H185" i="1" s="1"/>
  <c r="I169" i="2"/>
  <c r="H189" i="1" s="1"/>
  <c r="I173" i="2"/>
  <c r="H193" i="1" s="1"/>
  <c r="I177" i="2"/>
  <c r="H197" i="1" s="1"/>
  <c r="I181" i="2"/>
  <c r="H201" i="1" s="1"/>
  <c r="I185" i="2"/>
  <c r="H205" i="1" s="1"/>
  <c r="I189" i="2"/>
  <c r="H209" i="1" s="1"/>
  <c r="I193" i="2"/>
  <c r="H213" i="1" s="1"/>
  <c r="I197" i="2"/>
  <c r="H217" i="1" s="1"/>
  <c r="I201" i="2"/>
  <c r="H221" i="1" s="1"/>
  <c r="I205" i="2"/>
  <c r="H225" i="1" s="1"/>
  <c r="I209" i="2"/>
  <c r="H229" i="1" s="1"/>
  <c r="I213" i="2"/>
  <c r="H233" i="1" s="1"/>
  <c r="I217" i="2"/>
  <c r="I221" i="2"/>
  <c r="I225" i="2"/>
  <c r="I229" i="2"/>
  <c r="I233" i="2"/>
  <c r="I237" i="2"/>
  <c r="I241" i="2"/>
  <c r="I245" i="2"/>
  <c r="I249" i="2"/>
  <c r="I253" i="2"/>
  <c r="I257" i="2"/>
  <c r="I261" i="2"/>
  <c r="I265" i="2"/>
  <c r="I269" i="2"/>
  <c r="I273" i="2"/>
  <c r="I277" i="2"/>
  <c r="I281" i="2"/>
  <c r="I285" i="2"/>
  <c r="I289" i="2"/>
  <c r="I293" i="2"/>
  <c r="I297" i="2"/>
  <c r="I301" i="2"/>
  <c r="I305" i="2"/>
  <c r="I309" i="2"/>
  <c r="I313" i="2"/>
  <c r="N56" i="2"/>
  <c r="M76" i="1" s="1"/>
  <c r="N72" i="2"/>
  <c r="M92" i="1" s="1"/>
  <c r="N88" i="2"/>
  <c r="M108" i="1" s="1"/>
  <c r="N104" i="2"/>
  <c r="M124" i="1" s="1"/>
  <c r="N120" i="2"/>
  <c r="M140" i="1" s="1"/>
  <c r="N136" i="2"/>
  <c r="M156" i="1" s="1"/>
  <c r="N152" i="2"/>
  <c r="M172" i="1" s="1"/>
  <c r="N168" i="2"/>
  <c r="M188" i="1" s="1"/>
  <c r="N184" i="2"/>
  <c r="M204" i="1" s="1"/>
  <c r="N200" i="2"/>
  <c r="M220" i="1" s="1"/>
  <c r="N216" i="2"/>
  <c r="N231" i="2"/>
  <c r="N239" i="2"/>
  <c r="N247" i="2"/>
  <c r="N255" i="2"/>
  <c r="N263" i="2"/>
  <c r="N271" i="2"/>
  <c r="N279" i="2"/>
  <c r="N287" i="2"/>
  <c r="N295" i="2"/>
  <c r="N303" i="2"/>
  <c r="N311" i="2"/>
  <c r="N319" i="2"/>
  <c r="N327" i="2"/>
  <c r="N335" i="2"/>
  <c r="N343" i="2"/>
  <c r="N351" i="2"/>
  <c r="N359" i="2"/>
  <c r="M17" i="2"/>
  <c r="L37" i="1" s="1"/>
  <c r="M25" i="2"/>
  <c r="L45" i="1" s="1"/>
  <c r="M33" i="2"/>
  <c r="L53" i="1" s="1"/>
  <c r="M41" i="2"/>
  <c r="L61" i="1" s="1"/>
  <c r="M49" i="2"/>
  <c r="L69" i="1" s="1"/>
  <c r="M57" i="2"/>
  <c r="L77" i="1" s="1"/>
  <c r="M65" i="2"/>
  <c r="L85" i="1" s="1"/>
  <c r="M73" i="2"/>
  <c r="L93" i="1" s="1"/>
  <c r="M81" i="2"/>
  <c r="L101" i="1" s="1"/>
  <c r="M89" i="2"/>
  <c r="L109" i="1" s="1"/>
  <c r="M97" i="2"/>
  <c r="L117" i="1" s="1"/>
  <c r="M105" i="2"/>
  <c r="L125" i="1" s="1"/>
  <c r="M113" i="2"/>
  <c r="L133" i="1" s="1"/>
  <c r="M121" i="2"/>
  <c r="L141" i="1" s="1"/>
  <c r="M129" i="2"/>
  <c r="L149" i="1" s="1"/>
  <c r="M136" i="2"/>
  <c r="L156" i="1" s="1"/>
  <c r="M140" i="2"/>
  <c r="L160" i="1" s="1"/>
  <c r="M144" i="2"/>
  <c r="L164" i="1" s="1"/>
  <c r="M148" i="2"/>
  <c r="L168" i="1" s="1"/>
  <c r="M152" i="2"/>
  <c r="L172" i="1" s="1"/>
  <c r="M156" i="2"/>
  <c r="L176" i="1" s="1"/>
  <c r="M160" i="2"/>
  <c r="L180" i="1" s="1"/>
  <c r="M164" i="2"/>
  <c r="L184" i="1" s="1"/>
  <c r="M168" i="2"/>
  <c r="L188" i="1" s="1"/>
  <c r="M172" i="2"/>
  <c r="L192" i="1" s="1"/>
  <c r="M176" i="2"/>
  <c r="L196" i="1" s="1"/>
  <c r="M180" i="2"/>
  <c r="L200" i="1" s="1"/>
  <c r="M184" i="2"/>
  <c r="L204" i="1" s="1"/>
  <c r="M188" i="2"/>
  <c r="L208" i="1" s="1"/>
  <c r="M192" i="2"/>
  <c r="L212" i="1" s="1"/>
  <c r="M196" i="2"/>
  <c r="L216" i="1" s="1"/>
  <c r="M200" i="2"/>
  <c r="L220" i="1" s="1"/>
  <c r="M204" i="2"/>
  <c r="L224" i="1" s="1"/>
  <c r="M208" i="2"/>
  <c r="L228" i="1" s="1"/>
  <c r="M212" i="2"/>
  <c r="L232" i="1" s="1"/>
  <c r="M216" i="2"/>
  <c r="M220" i="2"/>
  <c r="M224" i="2"/>
  <c r="M228" i="2"/>
  <c r="M232" i="2"/>
  <c r="M236" i="2"/>
  <c r="M240" i="2"/>
  <c r="M244" i="2"/>
  <c r="M248" i="2"/>
  <c r="M252" i="2"/>
  <c r="M256" i="2"/>
  <c r="M260" i="2"/>
  <c r="M264" i="2"/>
  <c r="M268" i="2"/>
  <c r="M272" i="2"/>
  <c r="M276" i="2"/>
  <c r="M280" i="2"/>
  <c r="M284" i="2"/>
  <c r="M288" i="2"/>
  <c r="M292" i="2"/>
  <c r="M296" i="2"/>
  <c r="M300" i="2"/>
  <c r="M304" i="2"/>
  <c r="M308" i="2"/>
  <c r="M312" i="2"/>
  <c r="M316" i="2"/>
  <c r="M320" i="2"/>
  <c r="M324" i="2"/>
  <c r="M328" i="2"/>
  <c r="M332" i="2"/>
  <c r="M336" i="2"/>
  <c r="M340" i="2"/>
  <c r="M344" i="2"/>
  <c r="M348" i="2"/>
  <c r="M352" i="2"/>
  <c r="M356" i="2"/>
  <c r="M360" i="2"/>
  <c r="M364" i="2"/>
  <c r="L18" i="2"/>
  <c r="K38" i="1" s="1"/>
  <c r="L22" i="2"/>
  <c r="K42" i="1" s="1"/>
  <c r="L26" i="2"/>
  <c r="K46" i="1" s="1"/>
  <c r="L30" i="2"/>
  <c r="K50" i="1" s="1"/>
  <c r="L34" i="2"/>
  <c r="K54" i="1" s="1"/>
  <c r="L38" i="2"/>
  <c r="K58" i="1" s="1"/>
  <c r="L42" i="2"/>
  <c r="K62" i="1" s="1"/>
  <c r="L46" i="2"/>
  <c r="K66" i="1" s="1"/>
  <c r="L50" i="2"/>
  <c r="K70" i="1" s="1"/>
  <c r="L54" i="2"/>
  <c r="K74" i="1" s="1"/>
  <c r="L58" i="2"/>
  <c r="K78" i="1" s="1"/>
  <c r="L62" i="2"/>
  <c r="K82" i="1" s="1"/>
  <c r="L66" i="2"/>
  <c r="K86" i="1" s="1"/>
  <c r="L70" i="2"/>
  <c r="K90" i="1" s="1"/>
  <c r="L74" i="2"/>
  <c r="K94" i="1" s="1"/>
  <c r="L78" i="2"/>
  <c r="K98" i="1" s="1"/>
  <c r="L82" i="2"/>
  <c r="K102" i="1" s="1"/>
  <c r="L86" i="2"/>
  <c r="K106" i="1" s="1"/>
  <c r="L90" i="2"/>
  <c r="K110" i="1" s="1"/>
  <c r="L94" i="2"/>
  <c r="K114" i="1" s="1"/>
  <c r="L98" i="2"/>
  <c r="K118" i="1" s="1"/>
  <c r="L102" i="2"/>
  <c r="K122" i="1" s="1"/>
  <c r="L106" i="2"/>
  <c r="K126" i="1" s="1"/>
  <c r="L110" i="2"/>
  <c r="K130" i="1" s="1"/>
  <c r="L114" i="2"/>
  <c r="K134" i="1" s="1"/>
  <c r="L118" i="2"/>
  <c r="K138" i="1" s="1"/>
  <c r="L122" i="2"/>
  <c r="K142" i="1" s="1"/>
  <c r="L126" i="2"/>
  <c r="K146" i="1" s="1"/>
  <c r="L130" i="2"/>
  <c r="K150" i="1" s="1"/>
  <c r="L134" i="2"/>
  <c r="K154" i="1" s="1"/>
  <c r="L138" i="2"/>
  <c r="K158" i="1" s="1"/>
  <c r="L142" i="2"/>
  <c r="K162" i="1" s="1"/>
  <c r="L146" i="2"/>
  <c r="K166" i="1" s="1"/>
  <c r="L150" i="2"/>
  <c r="K170" i="1" s="1"/>
  <c r="L154" i="2"/>
  <c r="K174" i="1" s="1"/>
  <c r="L158" i="2"/>
  <c r="K178" i="1" s="1"/>
  <c r="L162" i="2"/>
  <c r="K182" i="1" s="1"/>
  <c r="L166" i="2"/>
  <c r="K186" i="1" s="1"/>
  <c r="L170" i="2"/>
  <c r="K190" i="1" s="1"/>
  <c r="L174" i="2"/>
  <c r="K194" i="1" s="1"/>
  <c r="L178" i="2"/>
  <c r="K198" i="1" s="1"/>
  <c r="L182" i="2"/>
  <c r="K202" i="1" s="1"/>
  <c r="L186" i="2"/>
  <c r="K206" i="1" s="1"/>
  <c r="L190" i="2"/>
  <c r="K210" i="1" s="1"/>
  <c r="L194" i="2"/>
  <c r="K214" i="1" s="1"/>
  <c r="L198" i="2"/>
  <c r="K218" i="1" s="1"/>
  <c r="L202" i="2"/>
  <c r="K222" i="1" s="1"/>
  <c r="L206" i="2"/>
  <c r="K226" i="1" s="1"/>
  <c r="L210" i="2"/>
  <c r="K230" i="1" s="1"/>
  <c r="L214" i="2"/>
  <c r="K234" i="1" s="1"/>
  <c r="L218" i="2"/>
  <c r="L222" i="2"/>
  <c r="L226" i="2"/>
  <c r="L230" i="2"/>
  <c r="L234" i="2"/>
  <c r="L238" i="2"/>
  <c r="L242" i="2"/>
  <c r="L246" i="2"/>
  <c r="L250" i="2"/>
  <c r="L254" i="2"/>
  <c r="L258" i="2"/>
  <c r="L262" i="2"/>
  <c r="L266" i="2"/>
  <c r="L270" i="2"/>
  <c r="L274" i="2"/>
  <c r="L278" i="2"/>
  <c r="L282" i="2"/>
  <c r="L286" i="2"/>
  <c r="L290" i="2"/>
  <c r="L294" i="2"/>
  <c r="L298" i="2"/>
  <c r="L302" i="2"/>
  <c r="L306" i="2"/>
  <c r="L310" i="2"/>
  <c r="L314" i="2"/>
  <c r="L318" i="2"/>
  <c r="L322" i="2"/>
  <c r="L326" i="2"/>
  <c r="L330" i="2"/>
  <c r="L334" i="2"/>
  <c r="L338" i="2"/>
  <c r="L342" i="2"/>
  <c r="L346" i="2"/>
  <c r="L350" i="2"/>
  <c r="L354" i="2"/>
  <c r="L358" i="2"/>
  <c r="L362" i="2"/>
  <c r="K16" i="2"/>
  <c r="J36" i="1" s="1"/>
  <c r="K20" i="2"/>
  <c r="J40" i="1" s="1"/>
  <c r="K24" i="2"/>
  <c r="J44" i="1" s="1"/>
  <c r="K28" i="2"/>
  <c r="J48" i="1" s="1"/>
  <c r="K32" i="2"/>
  <c r="J52" i="1" s="1"/>
  <c r="K36" i="2"/>
  <c r="J56" i="1" s="1"/>
  <c r="K40" i="2"/>
  <c r="J60" i="1" s="1"/>
  <c r="K44" i="2"/>
  <c r="J64" i="1" s="1"/>
  <c r="K48" i="2"/>
  <c r="J68" i="1" s="1"/>
  <c r="K52" i="2"/>
  <c r="J72" i="1" s="1"/>
  <c r="K56" i="2"/>
  <c r="J76" i="1" s="1"/>
  <c r="K60" i="2"/>
  <c r="J80" i="1" s="1"/>
  <c r="K64" i="2"/>
  <c r="J84" i="1" s="1"/>
  <c r="K68" i="2"/>
  <c r="J88" i="1" s="1"/>
  <c r="K72" i="2"/>
  <c r="J92" i="1" s="1"/>
  <c r="K76" i="2"/>
  <c r="J96" i="1" s="1"/>
  <c r="K80" i="2"/>
  <c r="J100" i="1" s="1"/>
  <c r="K84" i="2"/>
  <c r="J104" i="1" s="1"/>
  <c r="K88" i="2"/>
  <c r="J108" i="1" s="1"/>
  <c r="K92" i="2"/>
  <c r="J112" i="1" s="1"/>
  <c r="K96" i="2"/>
  <c r="J116" i="1" s="1"/>
  <c r="K100" i="2"/>
  <c r="J120" i="1" s="1"/>
  <c r="K104" i="2"/>
  <c r="J124" i="1" s="1"/>
  <c r="K108" i="2"/>
  <c r="J128" i="1" s="1"/>
  <c r="K112" i="2"/>
  <c r="J132" i="1" s="1"/>
  <c r="K116" i="2"/>
  <c r="J136" i="1" s="1"/>
  <c r="K120" i="2"/>
  <c r="J140" i="1" s="1"/>
  <c r="K124" i="2"/>
  <c r="J144" i="1" s="1"/>
  <c r="K128" i="2"/>
  <c r="J148" i="1" s="1"/>
  <c r="K132" i="2"/>
  <c r="J152" i="1" s="1"/>
  <c r="K136" i="2"/>
  <c r="J156" i="1" s="1"/>
  <c r="K140" i="2"/>
  <c r="J160" i="1" s="1"/>
  <c r="K144" i="2"/>
  <c r="J164" i="1" s="1"/>
  <c r="K148" i="2"/>
  <c r="J168" i="1" s="1"/>
  <c r="K152" i="2"/>
  <c r="J172" i="1" s="1"/>
  <c r="K156" i="2"/>
  <c r="J176" i="1" s="1"/>
  <c r="K160" i="2"/>
  <c r="J180" i="1" s="1"/>
  <c r="K164" i="2"/>
  <c r="J184" i="1" s="1"/>
  <c r="K168" i="2"/>
  <c r="J188" i="1" s="1"/>
  <c r="K172" i="2"/>
  <c r="J192" i="1" s="1"/>
  <c r="K176" i="2"/>
  <c r="J196" i="1" s="1"/>
  <c r="K180" i="2"/>
  <c r="J200" i="1" s="1"/>
  <c r="K184" i="2"/>
  <c r="J204" i="1" s="1"/>
  <c r="K188" i="2"/>
  <c r="J208" i="1" s="1"/>
  <c r="K192" i="2"/>
  <c r="J212" i="1" s="1"/>
  <c r="K196" i="2"/>
  <c r="J216" i="1" s="1"/>
  <c r="K200" i="2"/>
  <c r="J220" i="1" s="1"/>
  <c r="K204" i="2"/>
  <c r="J224" i="1" s="1"/>
  <c r="K208" i="2"/>
  <c r="J228" i="1" s="1"/>
  <c r="K212" i="2"/>
  <c r="J232" i="1" s="1"/>
  <c r="K216" i="2"/>
  <c r="K220" i="2"/>
  <c r="K224" i="2"/>
  <c r="K228" i="2"/>
  <c r="K232" i="2"/>
  <c r="K236" i="2"/>
  <c r="K240" i="2"/>
  <c r="K244" i="2"/>
  <c r="K248" i="2"/>
  <c r="K252" i="2"/>
  <c r="K256" i="2"/>
  <c r="K260" i="2"/>
  <c r="K264" i="2"/>
  <c r="K268" i="2"/>
  <c r="K272" i="2"/>
  <c r="K276" i="2"/>
  <c r="K280" i="2"/>
  <c r="K284" i="2"/>
  <c r="K288" i="2"/>
  <c r="K292" i="2"/>
  <c r="K296" i="2"/>
  <c r="K300" i="2"/>
  <c r="K304" i="2"/>
  <c r="K308" i="2"/>
  <c r="K312" i="2"/>
  <c r="K316" i="2"/>
  <c r="K320" i="2"/>
  <c r="K324" i="2"/>
  <c r="K328" i="2"/>
  <c r="K332" i="2"/>
  <c r="K336" i="2"/>
  <c r="K340" i="2"/>
  <c r="K344" i="2"/>
  <c r="K348" i="2"/>
  <c r="K352" i="2"/>
  <c r="K356" i="2"/>
  <c r="K360" i="2"/>
  <c r="K364" i="2"/>
  <c r="J18" i="2"/>
  <c r="I38" i="1" s="1"/>
  <c r="J22" i="2"/>
  <c r="I42" i="1" s="1"/>
  <c r="J26" i="2"/>
  <c r="I46" i="1" s="1"/>
  <c r="J30" i="2"/>
  <c r="I50" i="1" s="1"/>
  <c r="J34" i="2"/>
  <c r="I54" i="1" s="1"/>
  <c r="J38" i="2"/>
  <c r="I58" i="1" s="1"/>
  <c r="J42" i="2"/>
  <c r="I62" i="1" s="1"/>
  <c r="J46" i="2"/>
  <c r="I66" i="1" s="1"/>
  <c r="J50" i="2"/>
  <c r="I70" i="1" s="1"/>
  <c r="J54" i="2"/>
  <c r="I74" i="1" s="1"/>
  <c r="J58" i="2"/>
  <c r="I78" i="1" s="1"/>
  <c r="J62" i="2"/>
  <c r="I82" i="1" s="1"/>
  <c r="J66" i="2"/>
  <c r="I86" i="1" s="1"/>
  <c r="J70" i="2"/>
  <c r="I90" i="1" s="1"/>
  <c r="J74" i="2"/>
  <c r="I94" i="1" s="1"/>
  <c r="J78" i="2"/>
  <c r="I98" i="1" s="1"/>
  <c r="J82" i="2"/>
  <c r="I102" i="1" s="1"/>
  <c r="J86" i="2"/>
  <c r="I106" i="1" s="1"/>
  <c r="J90" i="2"/>
  <c r="I110" i="1" s="1"/>
  <c r="J94" i="2"/>
  <c r="I114" i="1" s="1"/>
  <c r="J98" i="2"/>
  <c r="I118" i="1" s="1"/>
  <c r="J102" i="2"/>
  <c r="I122" i="1" s="1"/>
  <c r="J106" i="2"/>
  <c r="I126" i="1" s="1"/>
  <c r="J110" i="2"/>
  <c r="I130" i="1" s="1"/>
  <c r="J114" i="2"/>
  <c r="I134" i="1" s="1"/>
  <c r="J118" i="2"/>
  <c r="I138" i="1" s="1"/>
  <c r="J122" i="2"/>
  <c r="I142" i="1" s="1"/>
  <c r="J126" i="2"/>
  <c r="I146" i="1" s="1"/>
  <c r="J130" i="2"/>
  <c r="I150" i="1" s="1"/>
  <c r="J134" i="2"/>
  <c r="I154" i="1" s="1"/>
  <c r="J138" i="2"/>
  <c r="I158" i="1" s="1"/>
  <c r="J142" i="2"/>
  <c r="I162" i="1" s="1"/>
  <c r="J146" i="2"/>
  <c r="I166" i="1" s="1"/>
  <c r="J150" i="2"/>
  <c r="I170" i="1" s="1"/>
  <c r="J154" i="2"/>
  <c r="I174" i="1" s="1"/>
  <c r="J158" i="2"/>
  <c r="I178" i="1" s="1"/>
  <c r="J162" i="2"/>
  <c r="I182" i="1" s="1"/>
  <c r="J166" i="2"/>
  <c r="I186" i="1" s="1"/>
  <c r="J170" i="2"/>
  <c r="I190" i="1" s="1"/>
  <c r="J174" i="2"/>
  <c r="I194" i="1" s="1"/>
  <c r="J178" i="2"/>
  <c r="I198" i="1" s="1"/>
  <c r="J182" i="2"/>
  <c r="I202" i="1" s="1"/>
  <c r="J186" i="2"/>
  <c r="I206" i="1" s="1"/>
  <c r="J190" i="2"/>
  <c r="I210" i="1" s="1"/>
  <c r="J194" i="2"/>
  <c r="I214" i="1" s="1"/>
  <c r="J198" i="2"/>
  <c r="I218" i="1" s="1"/>
  <c r="J202" i="2"/>
  <c r="I222" i="1" s="1"/>
  <c r="J206" i="2"/>
  <c r="I226" i="1" s="1"/>
  <c r="J210" i="2"/>
  <c r="I230" i="1" s="1"/>
  <c r="J214" i="2"/>
  <c r="I234" i="1" s="1"/>
  <c r="J218" i="2"/>
  <c r="J222" i="2"/>
  <c r="J226" i="2"/>
  <c r="J230" i="2"/>
  <c r="J234" i="2"/>
  <c r="J238" i="2"/>
  <c r="J242" i="2"/>
  <c r="J246" i="2"/>
  <c r="J250" i="2"/>
  <c r="J254" i="2"/>
  <c r="J258" i="2"/>
  <c r="J262" i="2"/>
  <c r="J266" i="2"/>
  <c r="J270" i="2"/>
  <c r="J274" i="2"/>
  <c r="J278" i="2"/>
  <c r="J282" i="2"/>
  <c r="J286" i="2"/>
  <c r="J290" i="2"/>
  <c r="J294" i="2"/>
  <c r="J298" i="2"/>
  <c r="J302" i="2"/>
  <c r="J306" i="2"/>
  <c r="J310" i="2"/>
  <c r="J314" i="2"/>
  <c r="J318" i="2"/>
  <c r="J322" i="2"/>
  <c r="J326" i="2"/>
  <c r="J330" i="2"/>
  <c r="J334" i="2"/>
  <c r="J338" i="2"/>
  <c r="J342" i="2"/>
  <c r="J346" i="2"/>
  <c r="J350" i="2"/>
  <c r="J354" i="2"/>
  <c r="J358" i="2"/>
  <c r="J362" i="2"/>
  <c r="I18" i="2"/>
  <c r="H38" i="1" s="1"/>
  <c r="I20" i="2"/>
  <c r="H40" i="1" s="1"/>
  <c r="I24" i="2"/>
  <c r="H44" i="1" s="1"/>
  <c r="I28" i="2"/>
  <c r="H48" i="1" s="1"/>
  <c r="I32" i="2"/>
  <c r="H52" i="1" s="1"/>
  <c r="I36" i="2"/>
  <c r="H56" i="1" s="1"/>
  <c r="I40" i="2"/>
  <c r="H60" i="1" s="1"/>
  <c r="I44" i="2"/>
  <c r="H64" i="1" s="1"/>
  <c r="I48" i="2"/>
  <c r="H68" i="1" s="1"/>
  <c r="I52" i="2"/>
  <c r="H72" i="1" s="1"/>
  <c r="I56" i="2"/>
  <c r="H76" i="1" s="1"/>
  <c r="I60" i="2"/>
  <c r="H80" i="1" s="1"/>
  <c r="I64" i="2"/>
  <c r="H84" i="1" s="1"/>
  <c r="I68" i="2"/>
  <c r="H88" i="1" s="1"/>
  <c r="I72" i="2"/>
  <c r="H92" i="1" s="1"/>
  <c r="I76" i="2"/>
  <c r="H96" i="1" s="1"/>
  <c r="I80" i="2"/>
  <c r="H100" i="1" s="1"/>
  <c r="I84" i="2"/>
  <c r="H104" i="1" s="1"/>
  <c r="I88" i="2"/>
  <c r="H108" i="1" s="1"/>
  <c r="I92" i="2"/>
  <c r="H112" i="1" s="1"/>
  <c r="I96" i="2"/>
  <c r="H116" i="1" s="1"/>
  <c r="I100" i="2"/>
  <c r="H120" i="1" s="1"/>
  <c r="I104" i="2"/>
  <c r="H124" i="1" s="1"/>
  <c r="I108" i="2"/>
  <c r="H128" i="1" s="1"/>
  <c r="I112" i="2"/>
  <c r="H132" i="1" s="1"/>
  <c r="I116" i="2"/>
  <c r="H136" i="1" s="1"/>
  <c r="I120" i="2"/>
  <c r="H140" i="1" s="1"/>
  <c r="I124" i="2"/>
  <c r="H144" i="1" s="1"/>
  <c r="I128" i="2"/>
  <c r="H148" i="1" s="1"/>
  <c r="I132" i="2"/>
  <c r="H152" i="1" s="1"/>
  <c r="I136" i="2"/>
  <c r="H156" i="1" s="1"/>
  <c r="I140" i="2"/>
  <c r="H160" i="1" s="1"/>
  <c r="I144" i="2"/>
  <c r="H164" i="1" s="1"/>
  <c r="I148" i="2"/>
  <c r="H168" i="1" s="1"/>
  <c r="I152" i="2"/>
  <c r="H172" i="1" s="1"/>
  <c r="I156" i="2"/>
  <c r="H176" i="1" s="1"/>
  <c r="I160" i="2"/>
  <c r="H180" i="1" s="1"/>
  <c r="I164" i="2"/>
  <c r="H184" i="1" s="1"/>
  <c r="I168" i="2"/>
  <c r="H188" i="1" s="1"/>
  <c r="I172" i="2"/>
  <c r="H192" i="1" s="1"/>
  <c r="I176" i="2"/>
  <c r="H196" i="1" s="1"/>
  <c r="I180" i="2"/>
  <c r="H200" i="1" s="1"/>
  <c r="I184" i="2"/>
  <c r="H204" i="1" s="1"/>
  <c r="I188" i="2"/>
  <c r="H208" i="1" s="1"/>
  <c r="I192" i="2"/>
  <c r="H212" i="1" s="1"/>
  <c r="I196" i="2"/>
  <c r="H216" i="1" s="1"/>
  <c r="I200" i="2"/>
  <c r="H220" i="1" s="1"/>
  <c r="I204" i="2"/>
  <c r="H224" i="1" s="1"/>
  <c r="I208" i="2"/>
  <c r="H228" i="1" s="1"/>
  <c r="I212" i="2"/>
  <c r="H232" i="1" s="1"/>
  <c r="I216" i="2"/>
  <c r="I220" i="2"/>
  <c r="I224" i="2"/>
  <c r="I228" i="2"/>
  <c r="I232" i="2"/>
  <c r="I236" i="2"/>
  <c r="I240" i="2"/>
  <c r="I244" i="2"/>
  <c r="I248" i="2"/>
  <c r="I252" i="2"/>
  <c r="I256" i="2"/>
  <c r="I260" i="2"/>
  <c r="I264" i="2"/>
  <c r="I268" i="2"/>
  <c r="I272" i="2"/>
  <c r="I276" i="2"/>
  <c r="I280" i="2"/>
  <c r="I284" i="2"/>
  <c r="I288" i="2"/>
  <c r="I292" i="2"/>
  <c r="I296" i="2"/>
  <c r="I300" i="2"/>
  <c r="I304" i="2"/>
  <c r="I308" i="2"/>
  <c r="I312" i="2"/>
  <c r="I316" i="2"/>
  <c r="I320" i="2"/>
  <c r="I324" i="2"/>
  <c r="I328" i="2"/>
  <c r="I332" i="2"/>
  <c r="I336" i="2"/>
  <c r="I340" i="2"/>
  <c r="I344" i="2"/>
  <c r="I348" i="2"/>
  <c r="I352" i="2"/>
  <c r="I356" i="2"/>
  <c r="I360" i="2"/>
  <c r="I364" i="2"/>
  <c r="H18" i="2"/>
  <c r="G38" i="1" s="1"/>
  <c r="H22" i="2"/>
  <c r="G42" i="1" s="1"/>
  <c r="H26" i="2"/>
  <c r="G46" i="1" s="1"/>
  <c r="H30" i="2"/>
  <c r="G50" i="1" s="1"/>
  <c r="H34" i="2"/>
  <c r="G54" i="1" s="1"/>
  <c r="H38" i="2"/>
  <c r="G58" i="1" s="1"/>
  <c r="H42" i="2"/>
  <c r="G62" i="1" s="1"/>
  <c r="H46" i="2"/>
  <c r="G66" i="1" s="1"/>
  <c r="H50" i="2"/>
  <c r="G70" i="1" s="1"/>
  <c r="H54" i="2"/>
  <c r="G74" i="1" s="1"/>
  <c r="H58" i="2"/>
  <c r="G78" i="1" s="1"/>
  <c r="H62" i="2"/>
  <c r="G82" i="1" s="1"/>
  <c r="H66" i="2"/>
  <c r="G86" i="1" s="1"/>
  <c r="H70" i="2"/>
  <c r="G90" i="1" s="1"/>
  <c r="H74" i="2"/>
  <c r="G94" i="1" s="1"/>
  <c r="H78" i="2"/>
  <c r="G98" i="1" s="1"/>
  <c r="H82" i="2"/>
  <c r="G102" i="1" s="1"/>
  <c r="H86" i="2"/>
  <c r="G106" i="1" s="1"/>
  <c r="H90" i="2"/>
  <c r="G110" i="1" s="1"/>
  <c r="H94" i="2"/>
  <c r="G114" i="1" s="1"/>
  <c r="H98" i="2"/>
  <c r="G118" i="1" s="1"/>
  <c r="H102" i="2"/>
  <c r="G122" i="1" s="1"/>
  <c r="H106" i="2"/>
  <c r="G126" i="1" s="1"/>
  <c r="H110" i="2"/>
  <c r="G130" i="1" s="1"/>
  <c r="H114" i="2"/>
  <c r="G134" i="1" s="1"/>
  <c r="H118" i="2"/>
  <c r="G138" i="1" s="1"/>
  <c r="H122" i="2"/>
  <c r="G142" i="1" s="1"/>
  <c r="H126" i="2"/>
  <c r="G146" i="1" s="1"/>
  <c r="H130" i="2"/>
  <c r="G150" i="1" s="1"/>
  <c r="H134" i="2"/>
  <c r="G154" i="1" s="1"/>
  <c r="H138" i="2"/>
  <c r="G158" i="1" s="1"/>
  <c r="H142" i="2"/>
  <c r="G162" i="1" s="1"/>
  <c r="H146" i="2"/>
  <c r="G166" i="1" s="1"/>
  <c r="H150" i="2"/>
  <c r="G170" i="1" s="1"/>
  <c r="H154" i="2"/>
  <c r="G174" i="1" s="1"/>
  <c r="H158" i="2"/>
  <c r="G178" i="1" s="1"/>
  <c r="H162" i="2"/>
  <c r="G182" i="1" s="1"/>
  <c r="H166" i="2"/>
  <c r="G186" i="1" s="1"/>
  <c r="H170" i="2"/>
  <c r="G190" i="1" s="1"/>
  <c r="H174" i="2"/>
  <c r="G194" i="1" s="1"/>
  <c r="H178" i="2"/>
  <c r="G198" i="1" s="1"/>
  <c r="H182" i="2"/>
  <c r="G202" i="1" s="1"/>
  <c r="H186" i="2"/>
  <c r="G206" i="1" s="1"/>
  <c r="H190" i="2"/>
  <c r="G210" i="1" s="1"/>
  <c r="H194" i="2"/>
  <c r="G214" i="1" s="1"/>
  <c r="H198" i="2"/>
  <c r="G218" i="1" s="1"/>
  <c r="H202" i="2"/>
  <c r="G222" i="1" s="1"/>
  <c r="H206" i="2"/>
  <c r="G226" i="1" s="1"/>
  <c r="H210" i="2"/>
  <c r="G230" i="1" s="1"/>
  <c r="H214" i="2"/>
  <c r="G234" i="1" s="1"/>
  <c r="H218" i="2"/>
  <c r="H222" i="2"/>
  <c r="H226" i="2"/>
  <c r="H230" i="2"/>
  <c r="H234" i="2"/>
  <c r="H238" i="2"/>
  <c r="H242" i="2"/>
  <c r="H246" i="2"/>
  <c r="H250" i="2"/>
  <c r="H254" i="2"/>
  <c r="H258" i="2"/>
  <c r="N52" i="2"/>
  <c r="M72" i="1" s="1"/>
  <c r="N68" i="2"/>
  <c r="M88" i="1" s="1"/>
  <c r="N84" i="2"/>
  <c r="M104" i="1" s="1"/>
  <c r="N100" i="2"/>
  <c r="M120" i="1" s="1"/>
  <c r="N116" i="2"/>
  <c r="M136" i="1" s="1"/>
  <c r="N132" i="2"/>
  <c r="M152" i="1" s="1"/>
  <c r="N148" i="2"/>
  <c r="M168" i="1" s="1"/>
  <c r="N164" i="2"/>
  <c r="M184" i="1" s="1"/>
  <c r="N180" i="2"/>
  <c r="M200" i="1" s="1"/>
  <c r="N196" i="2"/>
  <c r="M216" i="1" s="1"/>
  <c r="N212" i="2"/>
  <c r="M232" i="1" s="1"/>
  <c r="N228" i="2"/>
  <c r="N236" i="2"/>
  <c r="N244" i="2"/>
  <c r="N252" i="2"/>
  <c r="N260" i="2"/>
  <c r="N268" i="2"/>
  <c r="N276" i="2"/>
  <c r="N284" i="2"/>
  <c r="N292" i="2"/>
  <c r="N300" i="2"/>
  <c r="N308" i="2"/>
  <c r="N316" i="2"/>
  <c r="N324" i="2"/>
  <c r="N332" i="2"/>
  <c r="N340" i="2"/>
  <c r="N348" i="2"/>
  <c r="N356" i="2"/>
  <c r="N364" i="2"/>
  <c r="M22" i="2"/>
  <c r="L42" i="1" s="1"/>
  <c r="M30" i="2"/>
  <c r="L50" i="1" s="1"/>
  <c r="M38" i="2"/>
  <c r="L58" i="1" s="1"/>
  <c r="M46" i="2"/>
  <c r="L66" i="1" s="1"/>
  <c r="M54" i="2"/>
  <c r="L74" i="1" s="1"/>
  <c r="M62" i="2"/>
  <c r="L82" i="1" s="1"/>
  <c r="M70" i="2"/>
  <c r="L90" i="1" s="1"/>
  <c r="M78" i="2"/>
  <c r="L98" i="1" s="1"/>
  <c r="M86" i="2"/>
  <c r="L106" i="1" s="1"/>
  <c r="M94" i="2"/>
  <c r="L114" i="1" s="1"/>
  <c r="M102" i="2"/>
  <c r="L122" i="1" s="1"/>
  <c r="M110" i="2"/>
  <c r="L130" i="1" s="1"/>
  <c r="M118" i="2"/>
  <c r="L138" i="1" s="1"/>
  <c r="M126" i="2"/>
  <c r="L146" i="1" s="1"/>
  <c r="M134" i="2"/>
  <c r="L154" i="1" s="1"/>
  <c r="M139" i="2"/>
  <c r="L159" i="1" s="1"/>
  <c r="M143" i="2"/>
  <c r="L163" i="1" s="1"/>
  <c r="M147" i="2"/>
  <c r="L167" i="1" s="1"/>
  <c r="M151" i="2"/>
  <c r="L171" i="1" s="1"/>
  <c r="M155" i="2"/>
  <c r="L175" i="1" s="1"/>
  <c r="M159" i="2"/>
  <c r="L179" i="1" s="1"/>
  <c r="M163" i="2"/>
  <c r="L183" i="1" s="1"/>
  <c r="M167" i="2"/>
  <c r="L187" i="1" s="1"/>
  <c r="M171" i="2"/>
  <c r="L191" i="1" s="1"/>
  <c r="M175" i="2"/>
  <c r="L195" i="1" s="1"/>
  <c r="M179" i="2"/>
  <c r="L199" i="1" s="1"/>
  <c r="M183" i="2"/>
  <c r="L203" i="1" s="1"/>
  <c r="M187" i="2"/>
  <c r="L207" i="1" s="1"/>
  <c r="M191" i="2"/>
  <c r="L211" i="1" s="1"/>
  <c r="M195" i="2"/>
  <c r="L215" i="1" s="1"/>
  <c r="M199" i="2"/>
  <c r="L219" i="1" s="1"/>
  <c r="M203" i="2"/>
  <c r="L223" i="1" s="1"/>
  <c r="M207" i="2"/>
  <c r="L227" i="1" s="1"/>
  <c r="M211" i="2"/>
  <c r="L231" i="1" s="1"/>
  <c r="M215" i="2"/>
  <c r="M219" i="2"/>
  <c r="M223" i="2"/>
  <c r="M227" i="2"/>
  <c r="M231" i="2"/>
  <c r="M235" i="2"/>
  <c r="M239" i="2"/>
  <c r="M243" i="2"/>
  <c r="M247" i="2"/>
  <c r="M251" i="2"/>
  <c r="M255" i="2"/>
  <c r="M259" i="2"/>
  <c r="M263" i="2"/>
  <c r="M267" i="2"/>
  <c r="M271" i="2"/>
  <c r="M275" i="2"/>
  <c r="M279" i="2"/>
  <c r="M283" i="2"/>
  <c r="M287" i="2"/>
  <c r="M291" i="2"/>
  <c r="M295" i="2"/>
  <c r="M299" i="2"/>
  <c r="M303" i="2"/>
  <c r="M307" i="2"/>
  <c r="M311" i="2"/>
  <c r="M315" i="2"/>
  <c r="M319" i="2"/>
  <c r="M323" i="2"/>
  <c r="M327" i="2"/>
  <c r="M331" i="2"/>
  <c r="M335" i="2"/>
  <c r="M339" i="2"/>
  <c r="M343" i="2"/>
  <c r="M347" i="2"/>
  <c r="M351" i="2"/>
  <c r="M355" i="2"/>
  <c r="M359" i="2"/>
  <c r="M363" i="2"/>
  <c r="L17" i="2"/>
  <c r="K37" i="1" s="1"/>
  <c r="L21" i="2"/>
  <c r="K41" i="1" s="1"/>
  <c r="L25" i="2"/>
  <c r="K45" i="1" s="1"/>
  <c r="L29" i="2"/>
  <c r="K49" i="1" s="1"/>
  <c r="L33" i="2"/>
  <c r="K53" i="1" s="1"/>
  <c r="L37" i="2"/>
  <c r="K57" i="1" s="1"/>
  <c r="L41" i="2"/>
  <c r="K61" i="1" s="1"/>
  <c r="L45" i="2"/>
  <c r="K65" i="1" s="1"/>
  <c r="L49" i="2"/>
  <c r="K69" i="1" s="1"/>
  <c r="L53" i="2"/>
  <c r="K73" i="1" s="1"/>
  <c r="L57" i="2"/>
  <c r="K77" i="1" s="1"/>
  <c r="L61" i="2"/>
  <c r="K81" i="1" s="1"/>
  <c r="L65" i="2"/>
  <c r="K85" i="1" s="1"/>
  <c r="L69" i="2"/>
  <c r="K89" i="1" s="1"/>
  <c r="L73" i="2"/>
  <c r="K93" i="1" s="1"/>
  <c r="L77" i="2"/>
  <c r="K97" i="1" s="1"/>
  <c r="L81" i="2"/>
  <c r="K101" i="1" s="1"/>
  <c r="L85" i="2"/>
  <c r="K105" i="1" s="1"/>
  <c r="L89" i="2"/>
  <c r="K109" i="1" s="1"/>
  <c r="L93" i="2"/>
  <c r="K113" i="1" s="1"/>
  <c r="L97" i="2"/>
  <c r="K117" i="1" s="1"/>
  <c r="L101" i="2"/>
  <c r="K121" i="1" s="1"/>
  <c r="L105" i="2"/>
  <c r="K125" i="1" s="1"/>
  <c r="L109" i="2"/>
  <c r="K129" i="1" s="1"/>
  <c r="L113" i="2"/>
  <c r="K133" i="1" s="1"/>
  <c r="L117" i="2"/>
  <c r="K137" i="1" s="1"/>
  <c r="L121" i="2"/>
  <c r="K141" i="1" s="1"/>
  <c r="L125" i="2"/>
  <c r="K145" i="1" s="1"/>
  <c r="L129" i="2"/>
  <c r="K149" i="1" s="1"/>
  <c r="L133" i="2"/>
  <c r="K153" i="1" s="1"/>
  <c r="L137" i="2"/>
  <c r="K157" i="1" s="1"/>
  <c r="L141" i="2"/>
  <c r="K161" i="1" s="1"/>
  <c r="L145" i="2"/>
  <c r="K165" i="1" s="1"/>
  <c r="L149" i="2"/>
  <c r="K169" i="1" s="1"/>
  <c r="L153" i="2"/>
  <c r="K173" i="1" s="1"/>
  <c r="L157" i="2"/>
  <c r="K177" i="1" s="1"/>
  <c r="L161" i="2"/>
  <c r="K181" i="1" s="1"/>
  <c r="L165" i="2"/>
  <c r="K185" i="1" s="1"/>
  <c r="L169" i="2"/>
  <c r="K189" i="1" s="1"/>
  <c r="L173" i="2"/>
  <c r="K193" i="1" s="1"/>
  <c r="L177" i="2"/>
  <c r="K197" i="1" s="1"/>
  <c r="L181" i="2"/>
  <c r="K201" i="1" s="1"/>
  <c r="L185" i="2"/>
  <c r="K205" i="1" s="1"/>
  <c r="L189" i="2"/>
  <c r="K209" i="1" s="1"/>
  <c r="L193" i="2"/>
  <c r="K213" i="1" s="1"/>
  <c r="L197" i="2"/>
  <c r="K217" i="1" s="1"/>
  <c r="L201" i="2"/>
  <c r="K221" i="1" s="1"/>
  <c r="L205" i="2"/>
  <c r="K225" i="1" s="1"/>
  <c r="L209" i="2"/>
  <c r="K229" i="1" s="1"/>
  <c r="L213" i="2"/>
  <c r="K233" i="1" s="1"/>
  <c r="L217" i="2"/>
  <c r="L221" i="2"/>
  <c r="L225" i="2"/>
  <c r="L229" i="2"/>
  <c r="L233" i="2"/>
  <c r="L237" i="2"/>
  <c r="L241" i="2"/>
  <c r="L245" i="2"/>
  <c r="L249" i="2"/>
  <c r="L253" i="2"/>
  <c r="L257" i="2"/>
  <c r="L261" i="2"/>
  <c r="L265" i="2"/>
  <c r="L269" i="2"/>
  <c r="L273" i="2"/>
  <c r="L277" i="2"/>
  <c r="L281" i="2"/>
  <c r="L285" i="2"/>
  <c r="L289" i="2"/>
  <c r="L293" i="2"/>
  <c r="L297" i="2"/>
  <c r="L301" i="2"/>
  <c r="L305" i="2"/>
  <c r="L309" i="2"/>
  <c r="L313" i="2"/>
  <c r="L317" i="2"/>
  <c r="L321" i="2"/>
  <c r="L325" i="2"/>
  <c r="L329" i="2"/>
  <c r="L333" i="2"/>
  <c r="L337" i="2"/>
  <c r="L341" i="2"/>
  <c r="L345" i="2"/>
  <c r="L349" i="2"/>
  <c r="L353" i="2"/>
  <c r="L357" i="2"/>
  <c r="L361" i="2"/>
  <c r="L15" i="2"/>
  <c r="K35" i="1" s="1"/>
  <c r="K19" i="2"/>
  <c r="J39" i="1" s="1"/>
  <c r="K23" i="2"/>
  <c r="J43" i="1" s="1"/>
  <c r="K27" i="2"/>
  <c r="J47" i="1" s="1"/>
  <c r="K31" i="2"/>
  <c r="J51" i="1" s="1"/>
  <c r="K35" i="2"/>
  <c r="J55" i="1" s="1"/>
  <c r="K39" i="2"/>
  <c r="J59" i="1" s="1"/>
  <c r="K43" i="2"/>
  <c r="J63" i="1" s="1"/>
  <c r="K47" i="2"/>
  <c r="J67" i="1" s="1"/>
  <c r="K51" i="2"/>
  <c r="J71" i="1" s="1"/>
  <c r="K55" i="2"/>
  <c r="J75" i="1" s="1"/>
  <c r="K59" i="2"/>
  <c r="J79" i="1" s="1"/>
  <c r="K63" i="2"/>
  <c r="J83" i="1" s="1"/>
  <c r="K67" i="2"/>
  <c r="J87" i="1" s="1"/>
  <c r="K71" i="2"/>
  <c r="J91" i="1" s="1"/>
  <c r="K75" i="2"/>
  <c r="J95" i="1" s="1"/>
  <c r="K79" i="2"/>
  <c r="J99" i="1" s="1"/>
  <c r="K83" i="2"/>
  <c r="J103" i="1" s="1"/>
  <c r="K87" i="2"/>
  <c r="J107" i="1" s="1"/>
  <c r="K91" i="2"/>
  <c r="J111" i="1" s="1"/>
  <c r="K95" i="2"/>
  <c r="J115" i="1" s="1"/>
  <c r="K99" i="2"/>
  <c r="J119" i="1" s="1"/>
  <c r="K103" i="2"/>
  <c r="J123" i="1" s="1"/>
  <c r="K107" i="2"/>
  <c r="J127" i="1" s="1"/>
  <c r="K111" i="2"/>
  <c r="J131" i="1" s="1"/>
  <c r="K115" i="2"/>
  <c r="J135" i="1" s="1"/>
  <c r="K119" i="2"/>
  <c r="J139" i="1" s="1"/>
  <c r="K123" i="2"/>
  <c r="J143" i="1" s="1"/>
  <c r="K127" i="2"/>
  <c r="J147" i="1" s="1"/>
  <c r="K131" i="2"/>
  <c r="J151" i="1" s="1"/>
  <c r="K135" i="2"/>
  <c r="J155" i="1" s="1"/>
  <c r="K139" i="2"/>
  <c r="J159" i="1" s="1"/>
  <c r="K143" i="2"/>
  <c r="J163" i="1" s="1"/>
  <c r="K147" i="2"/>
  <c r="J167" i="1" s="1"/>
  <c r="K151" i="2"/>
  <c r="J171" i="1" s="1"/>
  <c r="K155" i="2"/>
  <c r="J175" i="1" s="1"/>
  <c r="K159" i="2"/>
  <c r="J179" i="1" s="1"/>
  <c r="K163" i="2"/>
  <c r="J183" i="1" s="1"/>
  <c r="K167" i="2"/>
  <c r="J187" i="1" s="1"/>
  <c r="K171" i="2"/>
  <c r="J191" i="1" s="1"/>
  <c r="K175" i="2"/>
  <c r="J195" i="1" s="1"/>
  <c r="K179" i="2"/>
  <c r="J199" i="1" s="1"/>
  <c r="K183" i="2"/>
  <c r="J203" i="1" s="1"/>
  <c r="K187" i="2"/>
  <c r="J207" i="1" s="1"/>
  <c r="K191" i="2"/>
  <c r="J211" i="1" s="1"/>
  <c r="K195" i="2"/>
  <c r="J215" i="1" s="1"/>
  <c r="K199" i="2"/>
  <c r="J219" i="1" s="1"/>
  <c r="K203" i="2"/>
  <c r="J223" i="1" s="1"/>
  <c r="K207" i="2"/>
  <c r="J227" i="1" s="1"/>
  <c r="K211" i="2"/>
  <c r="J231" i="1" s="1"/>
  <c r="K215" i="2"/>
  <c r="K219" i="2"/>
  <c r="K223" i="2"/>
  <c r="K227" i="2"/>
  <c r="K231" i="2"/>
  <c r="K235" i="2"/>
  <c r="K239" i="2"/>
  <c r="K243" i="2"/>
  <c r="K247" i="2"/>
  <c r="K251" i="2"/>
  <c r="K255" i="2"/>
  <c r="K259" i="2"/>
  <c r="K263" i="2"/>
  <c r="K267" i="2"/>
  <c r="K271" i="2"/>
  <c r="K275" i="2"/>
  <c r="K279" i="2"/>
  <c r="K283" i="2"/>
  <c r="K287" i="2"/>
  <c r="K291" i="2"/>
  <c r="K295" i="2"/>
  <c r="K299" i="2"/>
  <c r="K303" i="2"/>
  <c r="K307" i="2"/>
  <c r="K311" i="2"/>
  <c r="K315" i="2"/>
  <c r="K319" i="2"/>
  <c r="K323" i="2"/>
  <c r="K327" i="2"/>
  <c r="K331" i="2"/>
  <c r="K335" i="2"/>
  <c r="K339" i="2"/>
  <c r="K343" i="2"/>
  <c r="K347" i="2"/>
  <c r="K351" i="2"/>
  <c r="K355" i="2"/>
  <c r="K359" i="2"/>
  <c r="K363" i="2"/>
  <c r="J17" i="2"/>
  <c r="I37" i="1" s="1"/>
  <c r="J21" i="2"/>
  <c r="I41" i="1" s="1"/>
  <c r="J25" i="2"/>
  <c r="I45" i="1" s="1"/>
  <c r="J29" i="2"/>
  <c r="I49" i="1" s="1"/>
  <c r="J33" i="2"/>
  <c r="I53" i="1" s="1"/>
  <c r="J37" i="2"/>
  <c r="I57" i="1" s="1"/>
  <c r="J41" i="2"/>
  <c r="I61" i="1" s="1"/>
  <c r="J45" i="2"/>
  <c r="I65" i="1" s="1"/>
  <c r="J49" i="2"/>
  <c r="I69" i="1" s="1"/>
  <c r="J53" i="2"/>
  <c r="I73" i="1" s="1"/>
  <c r="J57" i="2"/>
  <c r="I77" i="1" s="1"/>
  <c r="J61" i="2"/>
  <c r="I81" i="1" s="1"/>
  <c r="J65" i="2"/>
  <c r="I85" i="1" s="1"/>
  <c r="J69" i="2"/>
  <c r="I89" i="1" s="1"/>
  <c r="J73" i="2"/>
  <c r="I93" i="1" s="1"/>
  <c r="J77" i="2"/>
  <c r="I97" i="1" s="1"/>
  <c r="J81" i="2"/>
  <c r="I101" i="1" s="1"/>
  <c r="J85" i="2"/>
  <c r="I105" i="1" s="1"/>
  <c r="J89" i="2"/>
  <c r="I109" i="1" s="1"/>
  <c r="J93" i="2"/>
  <c r="I113" i="1" s="1"/>
  <c r="J97" i="2"/>
  <c r="I117" i="1" s="1"/>
  <c r="J101" i="2"/>
  <c r="I121" i="1" s="1"/>
  <c r="J105" i="2"/>
  <c r="I125" i="1" s="1"/>
  <c r="J109" i="2"/>
  <c r="I129" i="1" s="1"/>
  <c r="J113" i="2"/>
  <c r="I133" i="1" s="1"/>
  <c r="J117" i="2"/>
  <c r="I137" i="1" s="1"/>
  <c r="J121" i="2"/>
  <c r="I141" i="1" s="1"/>
  <c r="J125" i="2"/>
  <c r="I145" i="1" s="1"/>
  <c r="J129" i="2"/>
  <c r="I149" i="1" s="1"/>
  <c r="J133" i="2"/>
  <c r="I153" i="1" s="1"/>
  <c r="J137" i="2"/>
  <c r="I157" i="1" s="1"/>
  <c r="J141" i="2"/>
  <c r="I161" i="1" s="1"/>
  <c r="J145" i="2"/>
  <c r="I165" i="1" s="1"/>
  <c r="J149" i="2"/>
  <c r="I169" i="1" s="1"/>
  <c r="J153" i="2"/>
  <c r="I173" i="1" s="1"/>
  <c r="J157" i="2"/>
  <c r="I177" i="1" s="1"/>
  <c r="J161" i="2"/>
  <c r="I181" i="1" s="1"/>
  <c r="J165" i="2"/>
  <c r="I185" i="1" s="1"/>
  <c r="J169" i="2"/>
  <c r="I189" i="1" s="1"/>
  <c r="J173" i="2"/>
  <c r="I193" i="1" s="1"/>
  <c r="J177" i="2"/>
  <c r="I197" i="1" s="1"/>
  <c r="J181" i="2"/>
  <c r="I201" i="1" s="1"/>
  <c r="J185" i="2"/>
  <c r="I205" i="1" s="1"/>
  <c r="J189" i="2"/>
  <c r="I209" i="1" s="1"/>
  <c r="J193" i="2"/>
  <c r="I213" i="1" s="1"/>
  <c r="J197" i="2"/>
  <c r="I217" i="1" s="1"/>
  <c r="J201" i="2"/>
  <c r="I221" i="1" s="1"/>
  <c r="J205" i="2"/>
  <c r="I225" i="1" s="1"/>
  <c r="J209" i="2"/>
  <c r="I229" i="1" s="1"/>
  <c r="J213" i="2"/>
  <c r="I233" i="1" s="1"/>
  <c r="J217" i="2"/>
  <c r="J221" i="2"/>
  <c r="J225" i="2"/>
  <c r="J229" i="2"/>
  <c r="J233" i="2"/>
  <c r="J237" i="2"/>
  <c r="J241" i="2"/>
  <c r="J245" i="2"/>
  <c r="J249" i="2"/>
  <c r="J253" i="2"/>
  <c r="J257" i="2"/>
  <c r="J261" i="2"/>
  <c r="J265" i="2"/>
  <c r="J269" i="2"/>
  <c r="J273" i="2"/>
  <c r="J277" i="2"/>
  <c r="J281" i="2"/>
  <c r="J285" i="2"/>
  <c r="J289" i="2"/>
  <c r="J293" i="2"/>
  <c r="J297" i="2"/>
  <c r="J301" i="2"/>
  <c r="J305" i="2"/>
  <c r="J309" i="2"/>
  <c r="J313" i="2"/>
  <c r="J317" i="2"/>
  <c r="J321" i="2"/>
  <c r="J325" i="2"/>
  <c r="J329" i="2"/>
  <c r="J333" i="2"/>
  <c r="J337" i="2"/>
  <c r="J341" i="2"/>
  <c r="J345" i="2"/>
  <c r="J349" i="2"/>
  <c r="J353" i="2"/>
  <c r="J357" i="2"/>
  <c r="J361" i="2"/>
  <c r="J15" i="2"/>
  <c r="I35" i="1" s="1"/>
  <c r="I19" i="2"/>
  <c r="H39" i="1" s="1"/>
  <c r="I23" i="2"/>
  <c r="H43" i="1" s="1"/>
  <c r="I27" i="2"/>
  <c r="H47" i="1" s="1"/>
  <c r="I31" i="2"/>
  <c r="H51" i="1" s="1"/>
  <c r="I35" i="2"/>
  <c r="H55" i="1" s="1"/>
  <c r="I39" i="2"/>
  <c r="H59" i="1" s="1"/>
  <c r="I43" i="2"/>
  <c r="H63" i="1" s="1"/>
  <c r="I47" i="2"/>
  <c r="H67" i="1" s="1"/>
  <c r="I51" i="2"/>
  <c r="H71" i="1" s="1"/>
  <c r="I55" i="2"/>
  <c r="H75" i="1" s="1"/>
  <c r="I59" i="2"/>
  <c r="H79" i="1" s="1"/>
  <c r="I63" i="2"/>
  <c r="H83" i="1" s="1"/>
  <c r="I67" i="2"/>
  <c r="H87" i="1" s="1"/>
  <c r="I71" i="2"/>
  <c r="H91" i="1" s="1"/>
  <c r="I75" i="2"/>
  <c r="H95" i="1" s="1"/>
  <c r="I79" i="2"/>
  <c r="H99" i="1" s="1"/>
  <c r="I83" i="2"/>
  <c r="H103" i="1" s="1"/>
  <c r="I87" i="2"/>
  <c r="H107" i="1" s="1"/>
  <c r="I91" i="2"/>
  <c r="H111" i="1" s="1"/>
  <c r="I95" i="2"/>
  <c r="H115" i="1" s="1"/>
  <c r="I99" i="2"/>
  <c r="H119" i="1" s="1"/>
  <c r="I103" i="2"/>
  <c r="H123" i="1" s="1"/>
  <c r="I107" i="2"/>
  <c r="H127" i="1" s="1"/>
  <c r="I111" i="2"/>
  <c r="H131" i="1" s="1"/>
  <c r="I115" i="2"/>
  <c r="H135" i="1" s="1"/>
  <c r="I119" i="2"/>
  <c r="H139" i="1" s="1"/>
  <c r="I123" i="2"/>
  <c r="H143" i="1" s="1"/>
  <c r="I127" i="2"/>
  <c r="H147" i="1" s="1"/>
  <c r="I131" i="2"/>
  <c r="H151" i="1" s="1"/>
  <c r="I135" i="2"/>
  <c r="H155" i="1" s="1"/>
  <c r="I139" i="2"/>
  <c r="H159" i="1" s="1"/>
  <c r="I143" i="2"/>
  <c r="H163" i="1" s="1"/>
  <c r="I147" i="2"/>
  <c r="H167" i="1" s="1"/>
  <c r="I151" i="2"/>
  <c r="H171" i="1" s="1"/>
  <c r="I155" i="2"/>
  <c r="H175" i="1" s="1"/>
  <c r="I159" i="2"/>
  <c r="H179" i="1" s="1"/>
  <c r="I163" i="2"/>
  <c r="H183" i="1" s="1"/>
  <c r="I167" i="2"/>
  <c r="H187" i="1" s="1"/>
  <c r="I171" i="2"/>
  <c r="H191" i="1" s="1"/>
  <c r="I175" i="2"/>
  <c r="H195" i="1" s="1"/>
  <c r="I179" i="2"/>
  <c r="H199" i="1" s="1"/>
  <c r="I183" i="2"/>
  <c r="H203" i="1" s="1"/>
  <c r="I187" i="2"/>
  <c r="H207" i="1" s="1"/>
  <c r="I191" i="2"/>
  <c r="H211" i="1" s="1"/>
  <c r="I195" i="2"/>
  <c r="H215" i="1" s="1"/>
  <c r="I199" i="2"/>
  <c r="H219" i="1" s="1"/>
  <c r="I203" i="2"/>
  <c r="H223" i="1" s="1"/>
  <c r="I207" i="2"/>
  <c r="H227" i="1" s="1"/>
  <c r="I211" i="2"/>
  <c r="H231" i="1" s="1"/>
  <c r="I215" i="2"/>
  <c r="I219" i="2"/>
  <c r="I223" i="2"/>
  <c r="I227" i="2"/>
  <c r="I231" i="2"/>
  <c r="I235" i="2"/>
  <c r="I239" i="2"/>
  <c r="I243" i="2"/>
  <c r="I247" i="2"/>
  <c r="I251" i="2"/>
  <c r="I255" i="2"/>
  <c r="I259" i="2"/>
  <c r="I263" i="2"/>
  <c r="I267" i="2"/>
  <c r="I271" i="2"/>
  <c r="I275" i="2"/>
  <c r="I279" i="2"/>
  <c r="I283" i="2"/>
  <c r="I287" i="2"/>
  <c r="I291" i="2"/>
  <c r="I295" i="2"/>
  <c r="I299" i="2"/>
  <c r="I303" i="2"/>
  <c r="I307" i="2"/>
  <c r="I311" i="2"/>
  <c r="I315" i="2"/>
  <c r="I319" i="2"/>
  <c r="I323" i="2"/>
  <c r="I327" i="2"/>
  <c r="I331" i="2"/>
  <c r="I335" i="2"/>
  <c r="I339" i="2"/>
  <c r="I343" i="2"/>
  <c r="I347" i="2"/>
  <c r="I351" i="2"/>
  <c r="I355" i="2"/>
  <c r="I359" i="2"/>
  <c r="I363" i="2"/>
  <c r="H17" i="2"/>
  <c r="G37" i="1" s="1"/>
  <c r="H21" i="2"/>
  <c r="G41" i="1" s="1"/>
  <c r="H25" i="2"/>
  <c r="G45" i="1" s="1"/>
  <c r="H29" i="2"/>
  <c r="G49" i="1" s="1"/>
  <c r="H33" i="2"/>
  <c r="G53" i="1" s="1"/>
  <c r="H37" i="2"/>
  <c r="G57" i="1" s="1"/>
  <c r="H41" i="2"/>
  <c r="G61" i="1" s="1"/>
  <c r="H45" i="2"/>
  <c r="G65" i="1" s="1"/>
  <c r="H49" i="2"/>
  <c r="G69" i="1" s="1"/>
  <c r="H53" i="2"/>
  <c r="G73" i="1" s="1"/>
  <c r="H57" i="2"/>
  <c r="G77" i="1" s="1"/>
  <c r="H61" i="2"/>
  <c r="G81" i="1" s="1"/>
  <c r="H65" i="2"/>
  <c r="G85" i="1" s="1"/>
  <c r="H69" i="2"/>
  <c r="G89" i="1" s="1"/>
  <c r="H73" i="2"/>
  <c r="G93" i="1" s="1"/>
  <c r="H77" i="2"/>
  <c r="G97" i="1" s="1"/>
  <c r="H81" i="2"/>
  <c r="G101" i="1" s="1"/>
  <c r="H85" i="2"/>
  <c r="G105" i="1" s="1"/>
  <c r="H89" i="2"/>
  <c r="G109" i="1" s="1"/>
  <c r="H93" i="2"/>
  <c r="G113" i="1" s="1"/>
  <c r="H97" i="2"/>
  <c r="G117" i="1" s="1"/>
  <c r="H101" i="2"/>
  <c r="G121" i="1" s="1"/>
  <c r="H105" i="2"/>
  <c r="G125" i="1" s="1"/>
  <c r="H109" i="2"/>
  <c r="G129" i="1" s="1"/>
  <c r="H113" i="2"/>
  <c r="G133" i="1" s="1"/>
  <c r="H117" i="2"/>
  <c r="G137" i="1" s="1"/>
  <c r="H121" i="2"/>
  <c r="G141" i="1" s="1"/>
  <c r="H125" i="2"/>
  <c r="G145" i="1" s="1"/>
  <c r="H129" i="2"/>
  <c r="G149" i="1" s="1"/>
  <c r="H133" i="2"/>
  <c r="G153" i="1" s="1"/>
  <c r="H137" i="2"/>
  <c r="G157" i="1" s="1"/>
  <c r="H141" i="2"/>
  <c r="G161" i="1" s="1"/>
  <c r="H145" i="2"/>
  <c r="G165" i="1" s="1"/>
  <c r="H149" i="2"/>
  <c r="G169" i="1" s="1"/>
  <c r="H153" i="2"/>
  <c r="G173" i="1" s="1"/>
  <c r="H157" i="2"/>
  <c r="G177" i="1" s="1"/>
  <c r="H161" i="2"/>
  <c r="G181" i="1" s="1"/>
  <c r="H165" i="2"/>
  <c r="G185" i="1" s="1"/>
  <c r="H169" i="2"/>
  <c r="G189" i="1" s="1"/>
  <c r="H173" i="2"/>
  <c r="G193" i="1" s="1"/>
  <c r="H177" i="2"/>
  <c r="G197" i="1" s="1"/>
  <c r="H181" i="2"/>
  <c r="G201" i="1" s="1"/>
  <c r="H185" i="2"/>
  <c r="G205" i="1" s="1"/>
  <c r="H189" i="2"/>
  <c r="G209" i="1" s="1"/>
  <c r="H193" i="2"/>
  <c r="G213" i="1" s="1"/>
  <c r="H197" i="2"/>
  <c r="G217" i="1" s="1"/>
  <c r="H201" i="2"/>
  <c r="G221" i="1" s="1"/>
  <c r="H205" i="2"/>
  <c r="G225" i="1" s="1"/>
  <c r="H209" i="2"/>
  <c r="G229" i="1" s="1"/>
  <c r="H213" i="2"/>
  <c r="G233" i="1" s="1"/>
  <c r="H217" i="2"/>
  <c r="H221" i="2"/>
  <c r="H225" i="2"/>
  <c r="H229" i="2"/>
  <c r="H233" i="2"/>
  <c r="H237" i="2"/>
  <c r="H241" i="2"/>
  <c r="H245" i="2"/>
  <c r="H249" i="2"/>
  <c r="H253" i="2"/>
  <c r="H257" i="2"/>
  <c r="L11" i="2"/>
  <c r="K32" i="1" s="1"/>
  <c r="H11" i="2"/>
  <c r="G32" i="1" s="1"/>
  <c r="F364" i="2"/>
  <c r="F360" i="2"/>
  <c r="F356" i="2"/>
  <c r="F352" i="2"/>
  <c r="F348" i="2"/>
  <c r="F344" i="2"/>
  <c r="F340" i="2"/>
  <c r="F336" i="2"/>
  <c r="F332" i="2"/>
  <c r="F328" i="2"/>
  <c r="F324" i="2"/>
  <c r="F320" i="2"/>
  <c r="F316" i="2"/>
  <c r="F312" i="2"/>
  <c r="F308" i="2"/>
  <c r="F304" i="2"/>
  <c r="F300" i="2"/>
  <c r="F296" i="2"/>
  <c r="F292" i="2"/>
  <c r="F288" i="2"/>
  <c r="F284" i="2"/>
  <c r="F280" i="2"/>
  <c r="F276" i="2"/>
  <c r="F272" i="2"/>
  <c r="F268" i="2"/>
  <c r="F264" i="2"/>
  <c r="F260" i="2"/>
  <c r="F256" i="2"/>
  <c r="F252" i="2"/>
  <c r="F248" i="2"/>
  <c r="F244" i="2"/>
  <c r="F240" i="2"/>
  <c r="F236" i="2"/>
  <c r="F232" i="2"/>
  <c r="F228" i="2"/>
  <c r="F224" i="2"/>
  <c r="F220" i="2"/>
  <c r="F216" i="2"/>
  <c r="F212" i="2"/>
  <c r="E232" i="1" s="1"/>
  <c r="F208" i="2"/>
  <c r="E228" i="1" s="1"/>
  <c r="F204" i="2"/>
  <c r="E224" i="1" s="1"/>
  <c r="F200" i="2"/>
  <c r="E220" i="1" s="1"/>
  <c r="F196" i="2"/>
  <c r="E216" i="1" s="1"/>
  <c r="F192" i="2"/>
  <c r="E212" i="1" s="1"/>
  <c r="F188" i="2"/>
  <c r="E208" i="1" s="1"/>
  <c r="F184" i="2"/>
  <c r="E204" i="1" s="1"/>
  <c r="F180" i="2"/>
  <c r="E200" i="1" s="1"/>
  <c r="F176" i="2"/>
  <c r="E196" i="1" s="1"/>
  <c r="F172" i="2"/>
  <c r="E192" i="1" s="1"/>
  <c r="F168" i="2"/>
  <c r="E188" i="1" s="1"/>
  <c r="F164" i="2"/>
  <c r="E184" i="1" s="1"/>
  <c r="F160" i="2"/>
  <c r="E180" i="1" s="1"/>
  <c r="F156" i="2"/>
  <c r="E176" i="1" s="1"/>
  <c r="F152" i="2"/>
  <c r="E172" i="1" s="1"/>
  <c r="F148" i="2"/>
  <c r="E168" i="1" s="1"/>
  <c r="F144" i="2"/>
  <c r="E164" i="1" s="1"/>
  <c r="F140" i="2"/>
  <c r="E160" i="1" s="1"/>
  <c r="F136" i="2"/>
  <c r="E156" i="1" s="1"/>
  <c r="F132" i="2"/>
  <c r="E152" i="1" s="1"/>
  <c r="F128" i="2"/>
  <c r="E148" i="1" s="1"/>
  <c r="F124" i="2"/>
  <c r="E144" i="1" s="1"/>
  <c r="F120" i="2"/>
  <c r="E140" i="1" s="1"/>
  <c r="F116" i="2"/>
  <c r="E136" i="1" s="1"/>
  <c r="F112" i="2"/>
  <c r="E132" i="1" s="1"/>
  <c r="F108" i="2"/>
  <c r="E128" i="1" s="1"/>
  <c r="F104" i="2"/>
  <c r="E124" i="1" s="1"/>
  <c r="F100" i="2"/>
  <c r="E120" i="1" s="1"/>
  <c r="F96" i="2"/>
  <c r="E116" i="1" s="1"/>
  <c r="F92" i="2"/>
  <c r="E112" i="1" s="1"/>
  <c r="F88" i="2"/>
  <c r="E108" i="1" s="1"/>
  <c r="F84" i="2"/>
  <c r="E104" i="1" s="1"/>
  <c r="F80" i="2"/>
  <c r="E100" i="1" s="1"/>
  <c r="F76" i="2"/>
  <c r="E96" i="1" s="1"/>
  <c r="F72" i="2"/>
  <c r="E92" i="1" s="1"/>
  <c r="F68" i="2"/>
  <c r="E88" i="1" s="1"/>
  <c r="F64" i="2"/>
  <c r="E84" i="1" s="1"/>
  <c r="F60" i="2"/>
  <c r="E80" i="1" s="1"/>
  <c r="F56" i="2"/>
  <c r="E76" i="1" s="1"/>
  <c r="F52" i="2"/>
  <c r="E72" i="1" s="1"/>
  <c r="F48" i="2"/>
  <c r="E68" i="1" s="1"/>
  <c r="F44" i="2"/>
  <c r="E64" i="1" s="1"/>
  <c r="F40" i="2"/>
  <c r="E60" i="1" s="1"/>
  <c r="F36" i="2"/>
  <c r="E56" i="1" s="1"/>
  <c r="F32" i="2"/>
  <c r="E52" i="1" s="1"/>
  <c r="F28" i="2"/>
  <c r="E48" i="1" s="1"/>
  <c r="F24" i="2"/>
  <c r="E44" i="1" s="1"/>
  <c r="F20" i="2"/>
  <c r="E40" i="1" s="1"/>
  <c r="F16" i="2"/>
  <c r="E36" i="1" s="1"/>
  <c r="G362" i="2"/>
  <c r="G358" i="2"/>
  <c r="G354" i="2"/>
  <c r="G350" i="2"/>
  <c r="G346" i="2"/>
  <c r="G342" i="2"/>
  <c r="G338" i="2"/>
  <c r="G334" i="2"/>
  <c r="G330" i="2"/>
  <c r="G326" i="2"/>
  <c r="G322" i="2"/>
  <c r="G318" i="2"/>
  <c r="G314" i="2"/>
  <c r="G310" i="2"/>
  <c r="G306" i="2"/>
  <c r="G302" i="2"/>
  <c r="G298" i="2"/>
  <c r="G294" i="2"/>
  <c r="G290" i="2"/>
  <c r="G286" i="2"/>
  <c r="G282" i="2"/>
  <c r="G278" i="2"/>
  <c r="G274" i="2"/>
  <c r="G270" i="2"/>
  <c r="G266" i="2"/>
  <c r="G262" i="2"/>
  <c r="G258" i="2"/>
  <c r="G254" i="2"/>
  <c r="G250" i="2"/>
  <c r="G246" i="2"/>
  <c r="G242" i="2"/>
  <c r="G238" i="2"/>
  <c r="G234" i="2"/>
  <c r="G230" i="2"/>
  <c r="G226" i="2"/>
  <c r="G222" i="2"/>
  <c r="G218" i="2"/>
  <c r="G214" i="2"/>
  <c r="F234" i="1" s="1"/>
  <c r="G210" i="2"/>
  <c r="F230" i="1" s="1"/>
  <c r="G206" i="2"/>
  <c r="F226" i="1" s="1"/>
  <c r="G202" i="2"/>
  <c r="F222" i="1" s="1"/>
  <c r="G198" i="2"/>
  <c r="F218" i="1" s="1"/>
  <c r="G194" i="2"/>
  <c r="F214" i="1" s="1"/>
  <c r="G190" i="2"/>
  <c r="F210" i="1" s="1"/>
  <c r="G186" i="2"/>
  <c r="F206" i="1" s="1"/>
  <c r="G182" i="2"/>
  <c r="F202" i="1" s="1"/>
  <c r="G178" i="2"/>
  <c r="F198" i="1" s="1"/>
  <c r="G174" i="2"/>
  <c r="F194" i="1" s="1"/>
  <c r="G170" i="2"/>
  <c r="F190" i="1" s="1"/>
  <c r="G166" i="2"/>
  <c r="F186" i="1" s="1"/>
  <c r="G162" i="2"/>
  <c r="F182" i="1" s="1"/>
  <c r="G158" i="2"/>
  <c r="F178" i="1" s="1"/>
  <c r="G154" i="2"/>
  <c r="F174" i="1" s="1"/>
  <c r="G150" i="2"/>
  <c r="F170" i="1" s="1"/>
  <c r="G146" i="2"/>
  <c r="F166" i="1" s="1"/>
  <c r="G142" i="2"/>
  <c r="F162" i="1" s="1"/>
  <c r="G138" i="2"/>
  <c r="F158" i="1" s="1"/>
  <c r="G134" i="2"/>
  <c r="F154" i="1" s="1"/>
  <c r="G130" i="2"/>
  <c r="F150" i="1" s="1"/>
  <c r="G126" i="2"/>
  <c r="F146" i="1" s="1"/>
  <c r="G122" i="2"/>
  <c r="F142" i="1" s="1"/>
  <c r="G118" i="2"/>
  <c r="F138" i="1" s="1"/>
  <c r="G114" i="2"/>
  <c r="F134" i="1" s="1"/>
  <c r="G110" i="2"/>
  <c r="F130" i="1" s="1"/>
  <c r="G106" i="2"/>
  <c r="F126" i="1" s="1"/>
  <c r="G102" i="2"/>
  <c r="F122" i="1" s="1"/>
  <c r="G98" i="2"/>
  <c r="F118" i="1" s="1"/>
  <c r="G94" i="2"/>
  <c r="F114" i="1" s="1"/>
  <c r="G90" i="2"/>
  <c r="F110" i="1" s="1"/>
  <c r="G86" i="2"/>
  <c r="F106" i="1" s="1"/>
  <c r="G82" i="2"/>
  <c r="F102" i="1" s="1"/>
  <c r="G78" i="2"/>
  <c r="F98" i="1" s="1"/>
  <c r="G74" i="2"/>
  <c r="F94" i="1" s="1"/>
  <c r="G70" i="2"/>
  <c r="F90" i="1" s="1"/>
  <c r="G66" i="2"/>
  <c r="F86" i="1" s="1"/>
  <c r="G62" i="2"/>
  <c r="F82" i="1" s="1"/>
  <c r="G58" i="2"/>
  <c r="F78" i="1" s="1"/>
  <c r="G54" i="2"/>
  <c r="F74" i="1" s="1"/>
  <c r="G50" i="2"/>
  <c r="F70" i="1" s="1"/>
  <c r="G46" i="2"/>
  <c r="F66" i="1" s="1"/>
  <c r="G42" i="2"/>
  <c r="F62" i="1" s="1"/>
  <c r="G38" i="2"/>
  <c r="F58" i="1" s="1"/>
  <c r="G34" i="2"/>
  <c r="F54" i="1" s="1"/>
  <c r="G30" i="2"/>
  <c r="F50" i="1" s="1"/>
  <c r="G26" i="2"/>
  <c r="F46" i="1" s="1"/>
  <c r="G22" i="2"/>
  <c r="F42" i="1" s="1"/>
  <c r="G18" i="2"/>
  <c r="F38" i="1" s="1"/>
  <c r="H364" i="2"/>
  <c r="H360" i="2"/>
  <c r="H356" i="2"/>
  <c r="H352" i="2"/>
  <c r="H348" i="2"/>
  <c r="H344" i="2"/>
  <c r="H340" i="2"/>
  <c r="H336" i="2"/>
  <c r="H332" i="2"/>
  <c r="H328" i="2"/>
  <c r="H324" i="2"/>
  <c r="H320" i="2"/>
  <c r="H316" i="2"/>
  <c r="H312" i="2"/>
  <c r="H308" i="2"/>
  <c r="H304" i="2"/>
  <c r="H300" i="2"/>
  <c r="H296" i="2"/>
  <c r="H292" i="2"/>
  <c r="H288" i="2"/>
  <c r="H284" i="2"/>
  <c r="H280" i="2"/>
  <c r="H276" i="2"/>
  <c r="H272" i="2"/>
  <c r="H268" i="2"/>
  <c r="H264" i="2"/>
  <c r="H260" i="2"/>
  <c r="H252" i="2"/>
  <c r="H244" i="2"/>
  <c r="H236" i="2"/>
  <c r="H228" i="2"/>
  <c r="H220" i="2"/>
  <c r="H212" i="2"/>
  <c r="G232" i="1" s="1"/>
  <c r="H204" i="2"/>
  <c r="G224" i="1" s="1"/>
  <c r="H196" i="2"/>
  <c r="G216" i="1" s="1"/>
  <c r="H188" i="2"/>
  <c r="G208" i="1" s="1"/>
  <c r="H180" i="2"/>
  <c r="G200" i="1" s="1"/>
  <c r="H172" i="2"/>
  <c r="G192" i="1" s="1"/>
  <c r="H164" i="2"/>
  <c r="G184" i="1" s="1"/>
  <c r="H156" i="2"/>
  <c r="G176" i="1" s="1"/>
  <c r="H148" i="2"/>
  <c r="G168" i="1" s="1"/>
  <c r="H140" i="2"/>
  <c r="G160" i="1" s="1"/>
  <c r="H132" i="2"/>
  <c r="G152" i="1" s="1"/>
  <c r="H124" i="2"/>
  <c r="G144" i="1" s="1"/>
  <c r="H116" i="2"/>
  <c r="G136" i="1" s="1"/>
  <c r="H108" i="2"/>
  <c r="G128" i="1" s="1"/>
  <c r="H100" i="2"/>
  <c r="G120" i="1" s="1"/>
  <c r="H92" i="2"/>
  <c r="G112" i="1" s="1"/>
  <c r="H84" i="2"/>
  <c r="G104" i="1" s="1"/>
  <c r="H76" i="2"/>
  <c r="G96" i="1" s="1"/>
  <c r="H68" i="2"/>
  <c r="G88" i="1" s="1"/>
  <c r="H60" i="2"/>
  <c r="G80" i="1" s="1"/>
  <c r="H52" i="2"/>
  <c r="G72" i="1" s="1"/>
  <c r="H44" i="2"/>
  <c r="G64" i="1" s="1"/>
  <c r="H36" i="2"/>
  <c r="G56" i="1" s="1"/>
  <c r="H28" i="2"/>
  <c r="G48" i="1" s="1"/>
  <c r="H20" i="2"/>
  <c r="G40" i="1" s="1"/>
  <c r="I362" i="2"/>
  <c r="I354" i="2"/>
  <c r="I346" i="2"/>
  <c r="I338" i="2"/>
  <c r="I330" i="2"/>
  <c r="I322" i="2"/>
  <c r="X32" i="1"/>
  <c r="X68" i="1"/>
  <c r="X44" i="1"/>
  <c r="X146" i="1"/>
  <c r="X99" i="1"/>
  <c r="X70" i="1"/>
  <c r="X174" i="1"/>
  <c r="X117" i="1"/>
  <c r="X153" i="1"/>
  <c r="X82" i="1"/>
  <c r="X190" i="1"/>
  <c r="X110" i="1"/>
  <c r="X171" i="1"/>
  <c r="X60" i="1"/>
  <c r="X55" i="1"/>
  <c r="X83" i="1"/>
  <c r="X52" i="1"/>
  <c r="X48" i="1"/>
  <c r="X54" i="1"/>
  <c r="X219" i="1"/>
  <c r="X163" i="1"/>
  <c r="X162" i="1"/>
  <c r="X84" i="1"/>
  <c r="X123" i="1"/>
  <c r="X109" i="1"/>
  <c r="X203" i="1"/>
  <c r="X180" i="1"/>
  <c r="X51" i="1"/>
  <c r="X144" i="1"/>
  <c r="X39" i="1"/>
  <c r="X115" i="1"/>
  <c r="X85" i="1"/>
  <c r="X164" i="1"/>
  <c r="X197" i="1"/>
  <c r="X167" i="1"/>
  <c r="X229" i="1"/>
  <c r="X53" i="1"/>
  <c r="X107" i="1"/>
  <c r="X204" i="1"/>
  <c r="X215" i="1"/>
  <c r="X214" i="1"/>
  <c r="X71" i="1"/>
  <c r="X148" i="1"/>
  <c r="X205" i="1"/>
  <c r="X36" i="1"/>
  <c r="X155" i="1"/>
  <c r="X64" i="1"/>
  <c r="X147" i="1"/>
  <c r="X40" i="1"/>
  <c r="X168" i="1"/>
  <c r="X81" i="1"/>
  <c r="X211" i="1"/>
  <c r="X130" i="1"/>
  <c r="X56" i="1"/>
  <c r="X129" i="1"/>
  <c r="X86" i="1"/>
  <c r="X173" i="1"/>
  <c r="X156" i="1"/>
  <c r="X213" i="1"/>
  <c r="X142" i="1"/>
  <c r="X116" i="1"/>
  <c r="X175" i="1"/>
  <c r="X108" i="1"/>
  <c r="X118" i="1"/>
  <c r="X141" i="1"/>
  <c r="X92" i="1"/>
  <c r="X230" i="1"/>
  <c r="X114" i="1"/>
  <c r="X89" i="1"/>
  <c r="X139" i="1"/>
  <c r="X119" i="1"/>
  <c r="X37" i="1"/>
  <c r="X61" i="1"/>
  <c r="X100" i="1"/>
  <c r="X65" i="1"/>
  <c r="X59" i="1"/>
  <c r="X207" i="1"/>
  <c r="X210" i="1"/>
  <c r="X80" i="1"/>
  <c r="X187" i="1"/>
  <c r="X43" i="1"/>
  <c r="X195" i="1"/>
  <c r="X194" i="1"/>
  <c r="X189" i="1"/>
  <c r="X67" i="1"/>
  <c r="X126" i="1"/>
  <c r="X222" i="1"/>
  <c r="X198" i="1"/>
  <c r="X101" i="1"/>
  <c r="X143" i="1"/>
  <c r="X112" i="1"/>
  <c r="X121" i="1"/>
  <c r="X159" i="1"/>
  <c r="X231" i="1"/>
  <c r="X91" i="1"/>
  <c r="X135" i="1"/>
  <c r="X77" i="1"/>
  <c r="X179" i="1"/>
  <c r="X98" i="1"/>
  <c r="X181" i="1"/>
  <c r="X97" i="1"/>
  <c r="X217" i="1"/>
  <c r="X66" i="1"/>
  <c r="X150" i="1"/>
  <c r="X113" i="1"/>
  <c r="X166" i="1"/>
  <c r="X233" i="1"/>
  <c r="X47" i="1"/>
  <c r="X124" i="1"/>
  <c r="X131" i="1"/>
  <c r="X87" i="1"/>
  <c r="X127" i="1"/>
  <c r="X228" i="1"/>
  <c r="X193" i="1"/>
  <c r="X138" i="1"/>
  <c r="X184" i="1"/>
  <c r="X106" i="1"/>
  <c r="X223" i="1"/>
  <c r="X134" i="1"/>
  <c r="X96" i="1"/>
  <c r="X42" i="1"/>
  <c r="X62" i="1"/>
  <c r="X226" i="1"/>
  <c r="X69" i="1"/>
  <c r="X176" i="1"/>
  <c r="X151" i="1"/>
  <c r="X177" i="1"/>
  <c r="X128" i="1"/>
  <c r="X140" i="1"/>
  <c r="X132" i="1"/>
  <c r="X158" i="1"/>
  <c r="X170" i="1"/>
  <c r="X78" i="1"/>
  <c r="X137" i="1"/>
  <c r="X45" i="1"/>
  <c r="X93" i="1"/>
  <c r="X232" i="1"/>
  <c r="X208" i="1"/>
  <c r="X76" i="1"/>
  <c r="X50" i="1"/>
  <c r="X102" i="1"/>
  <c r="X169" i="1"/>
  <c r="X192" i="1"/>
  <c r="X73" i="1"/>
  <c r="X63" i="1"/>
  <c r="X186" i="1"/>
  <c r="X111" i="1"/>
  <c r="X200" i="1"/>
  <c r="X216" i="1"/>
  <c r="X41" i="1"/>
  <c r="X209" i="1"/>
  <c r="X103" i="1"/>
  <c r="X161" i="1"/>
  <c r="X58" i="1"/>
  <c r="X152" i="1"/>
  <c r="X212" i="1"/>
  <c r="X157" i="1"/>
  <c r="X224" i="1"/>
  <c r="X104" i="1"/>
  <c r="X125" i="1"/>
  <c r="X79" i="1"/>
  <c r="X57" i="1"/>
  <c r="X94" i="1"/>
  <c r="X221" i="1"/>
  <c r="X225" i="1"/>
  <c r="X191" i="1"/>
  <c r="X72" i="1"/>
  <c r="X202" i="1"/>
  <c r="X145" i="1"/>
  <c r="X136" i="1"/>
  <c r="X165" i="1"/>
  <c r="X133" i="1"/>
  <c r="X46" i="1"/>
  <c r="X49" i="1"/>
  <c r="X154" i="1"/>
  <c r="X185" i="1"/>
  <c r="X227" i="1"/>
  <c r="X188" i="1"/>
  <c r="X220" i="1"/>
  <c r="X95" i="1"/>
  <c r="X218" i="1"/>
  <c r="X75" i="1"/>
  <c r="X206" i="1"/>
  <c r="X183" i="1"/>
  <c r="X105" i="1"/>
  <c r="X160" i="1"/>
  <c r="X38" i="1"/>
  <c r="X172" i="1"/>
  <c r="X88" i="1"/>
  <c r="X149" i="1"/>
  <c r="X178" i="1"/>
  <c r="X90" i="1"/>
  <c r="X201" i="1"/>
  <c r="X35" i="1"/>
  <c r="X234" i="1"/>
  <c r="X196" i="1"/>
  <c r="X122" i="1"/>
  <c r="X199" i="1"/>
  <c r="X182" i="1"/>
  <c r="X74" i="1"/>
  <c r="X120" i="1"/>
  <c r="S32" i="1"/>
  <c r="W134" i="1"/>
  <c r="R140" i="1"/>
  <c r="R97" i="1"/>
  <c r="U140" i="1"/>
  <c r="W39" i="1"/>
  <c r="W151" i="1"/>
  <c r="S95" i="1"/>
  <c r="V222" i="1"/>
  <c r="Q79" i="1"/>
  <c r="W234" i="1"/>
  <c r="P221" i="1"/>
  <c r="Q60" i="1"/>
  <c r="T206" i="1"/>
  <c r="P57" i="1"/>
  <c r="V179" i="1"/>
  <c r="S78" i="1"/>
  <c r="U54" i="1"/>
  <c r="V114" i="1"/>
  <c r="P211" i="1"/>
  <c r="P117" i="1"/>
  <c r="U186" i="1"/>
  <c r="P65" i="1"/>
  <c r="P69" i="1"/>
  <c r="P197" i="1"/>
  <c r="T119" i="1"/>
  <c r="S113" i="1"/>
  <c r="Q192" i="1"/>
  <c r="W119" i="1"/>
  <c r="U197" i="1"/>
  <c r="P170" i="1"/>
  <c r="V177" i="1"/>
  <c r="P106" i="1"/>
  <c r="W72" i="1"/>
  <c r="S94" i="1"/>
  <c r="R171" i="1"/>
  <c r="Q82" i="1"/>
  <c r="Q35" i="1"/>
  <c r="V50" i="1"/>
  <c r="P219" i="1"/>
  <c r="Q187" i="1"/>
  <c r="P208" i="1"/>
  <c r="R174" i="1"/>
  <c r="S201" i="1"/>
  <c r="V37" i="1"/>
  <c r="Q57" i="1"/>
  <c r="S225" i="1"/>
  <c r="S55" i="1"/>
  <c r="W84" i="1"/>
  <c r="W129" i="1"/>
  <c r="Q197" i="1"/>
  <c r="P162" i="1"/>
  <c r="T143" i="1"/>
  <c r="V203" i="1"/>
  <c r="T157" i="1"/>
  <c r="U161" i="1"/>
  <c r="R119" i="1"/>
  <c r="W130" i="1"/>
  <c r="V207" i="1"/>
  <c r="T198" i="1"/>
  <c r="T169" i="1"/>
  <c r="V115" i="1"/>
  <c r="W198" i="1"/>
  <c r="R143" i="1"/>
  <c r="W106" i="1"/>
  <c r="U86" i="1"/>
  <c r="V171" i="1"/>
  <c r="S122" i="1"/>
  <c r="Q188" i="1"/>
  <c r="Q204" i="1"/>
  <c r="S188" i="1"/>
  <c r="Q198" i="1"/>
  <c r="U184" i="1"/>
  <c r="V146" i="1"/>
  <c r="Q71" i="1"/>
  <c r="V215" i="1"/>
  <c r="U229" i="1"/>
  <c r="P102" i="1"/>
  <c r="P64" i="1"/>
  <c r="V206" i="1"/>
  <c r="T221" i="1"/>
  <c r="S187" i="1"/>
  <c r="S35" i="1"/>
  <c r="S207" i="1"/>
  <c r="W122" i="1"/>
  <c r="U174" i="1"/>
  <c r="S220" i="1"/>
  <c r="U221" i="1"/>
  <c r="U66" i="1"/>
  <c r="S108" i="1"/>
  <c r="P73" i="1"/>
  <c r="T130" i="1"/>
  <c r="W43" i="1"/>
  <c r="R162" i="1"/>
  <c r="W133" i="1"/>
  <c r="T118" i="1"/>
  <c r="R183" i="1"/>
  <c r="U171" i="1"/>
  <c r="R51" i="1"/>
  <c r="S169" i="1"/>
  <c r="U87" i="1"/>
  <c r="T84" i="1"/>
  <c r="U201" i="1"/>
  <c r="V175" i="1"/>
  <c r="U73" i="1"/>
  <c r="T48" i="1"/>
  <c r="Q84" i="1"/>
  <c r="W35" i="1"/>
  <c r="U152" i="1"/>
  <c r="T178" i="1"/>
  <c r="U61" i="1"/>
  <c r="P124" i="1"/>
  <c r="P67" i="1"/>
  <c r="S118" i="1"/>
  <c r="T86" i="1"/>
  <c r="R149" i="1"/>
  <c r="W32" i="1"/>
  <c r="Q37" i="1"/>
  <c r="P119" i="1"/>
  <c r="P47" i="1"/>
  <c r="S101" i="1"/>
  <c r="U222" i="1"/>
  <c r="Q111" i="1"/>
  <c r="P87" i="1"/>
  <c r="P178" i="1"/>
  <c r="P148" i="1"/>
  <c r="T214" i="1"/>
  <c r="S158" i="1"/>
  <c r="U123" i="1"/>
  <c r="R104" i="1"/>
  <c r="P113" i="1"/>
  <c r="Q55" i="1"/>
  <c r="Q43" i="1"/>
  <c r="P37" i="1"/>
  <c r="W225" i="1"/>
  <c r="Q108" i="1"/>
  <c r="Q227" i="1"/>
  <c r="P138" i="1"/>
  <c r="V170" i="1"/>
  <c r="R170" i="1"/>
  <c r="P68" i="1"/>
  <c r="U69" i="1"/>
  <c r="T216" i="1"/>
  <c r="V233" i="1"/>
  <c r="R172" i="1"/>
  <c r="R67" i="1"/>
  <c r="R75" i="1"/>
  <c r="U83" i="1"/>
  <c r="P128" i="1"/>
  <c r="P209" i="1"/>
  <c r="R96" i="1"/>
  <c r="W117" i="1"/>
  <c r="P195" i="1"/>
  <c r="R141" i="1"/>
  <c r="V124" i="1"/>
  <c r="T179" i="1"/>
  <c r="T111" i="1"/>
  <c r="Q205" i="1"/>
  <c r="V144" i="1"/>
  <c r="S96" i="1"/>
  <c r="V194" i="1"/>
  <c r="S178" i="1"/>
  <c r="P202" i="1"/>
  <c r="S63" i="1"/>
  <c r="R95" i="1"/>
  <c r="U141" i="1"/>
  <c r="R157" i="1"/>
  <c r="U62" i="1"/>
  <c r="U212" i="1"/>
  <c r="V145" i="1"/>
  <c r="V157" i="1"/>
  <c r="S48" i="1"/>
  <c r="P60" i="1"/>
  <c r="P214" i="1"/>
  <c r="P104" i="1"/>
  <c r="S110" i="1"/>
  <c r="P233" i="1"/>
  <c r="V216" i="1"/>
  <c r="R43" i="1"/>
  <c r="R92" i="1"/>
  <c r="R169" i="1"/>
  <c r="P115" i="1"/>
  <c r="W179" i="1"/>
  <c r="V213" i="1"/>
  <c r="R225" i="1"/>
  <c r="P93" i="1"/>
  <c r="P36" i="1"/>
  <c r="T174" i="1"/>
  <c r="V112" i="1"/>
  <c r="P56" i="1"/>
  <c r="W55" i="1"/>
  <c r="V63" i="1"/>
  <c r="W62" i="1"/>
  <c r="P61" i="1"/>
  <c r="V43" i="1"/>
  <c r="T202" i="1"/>
  <c r="R194" i="1"/>
  <c r="Q140" i="1"/>
  <c r="S98" i="1"/>
  <c r="T167" i="1"/>
  <c r="W41" i="1"/>
  <c r="P74" i="1"/>
  <c r="U132" i="1"/>
  <c r="U124" i="1"/>
  <c r="T182" i="1"/>
  <c r="V185" i="1"/>
  <c r="W160" i="1"/>
  <c r="P212" i="1"/>
  <c r="Q118" i="1"/>
  <c r="R112" i="1"/>
  <c r="W75" i="1"/>
  <c r="R137" i="1"/>
  <c r="U41" i="1"/>
  <c r="S117" i="1"/>
  <c r="P213" i="1"/>
  <c r="Q214" i="1"/>
  <c r="R37" i="1"/>
  <c r="W76" i="1"/>
  <c r="S152" i="1"/>
  <c r="S93" i="1"/>
  <c r="T72" i="1"/>
  <c r="S54" i="1"/>
  <c r="S50" i="1"/>
  <c r="R181" i="1"/>
  <c r="Q113" i="1"/>
  <c r="U38" i="1"/>
  <c r="Q100" i="1"/>
  <c r="U118" i="1"/>
  <c r="Q45" i="1"/>
  <c r="R64" i="1"/>
  <c r="P72" i="1"/>
  <c r="P79" i="1"/>
  <c r="S183" i="1"/>
  <c r="W228" i="1"/>
  <c r="T32" i="1"/>
  <c r="S216" i="1"/>
  <c r="S210" i="1"/>
  <c r="W180" i="1"/>
  <c r="Q223" i="1"/>
  <c r="T37" i="1"/>
  <c r="R145" i="1"/>
  <c r="V116" i="1"/>
  <c r="R136" i="1"/>
  <c r="R167" i="1"/>
  <c r="U71" i="1"/>
  <c r="U125" i="1"/>
  <c r="P53" i="1"/>
  <c r="T153" i="1"/>
  <c r="P143" i="1"/>
  <c r="R209" i="1"/>
  <c r="U148" i="1"/>
  <c r="W214" i="1"/>
  <c r="Q78" i="1"/>
  <c r="Q203" i="1"/>
  <c r="T204" i="1"/>
  <c r="U90" i="1"/>
  <c r="Q216" i="1"/>
  <c r="P193" i="1"/>
  <c r="Q116" i="1"/>
  <c r="W103" i="1"/>
  <c r="Q229" i="1"/>
  <c r="P50" i="1"/>
  <c r="R147" i="1"/>
  <c r="W153" i="1"/>
  <c r="S87" i="1"/>
  <c r="W40" i="1"/>
  <c r="W209" i="1"/>
  <c r="R87" i="1"/>
  <c r="P40" i="1"/>
  <c r="U40" i="1"/>
  <c r="V137" i="1"/>
  <c r="T78" i="1"/>
  <c r="P90" i="1"/>
  <c r="R200" i="1"/>
  <c r="U169" i="1"/>
  <c r="Q67" i="1"/>
  <c r="W219" i="1"/>
  <c r="R142" i="1"/>
  <c r="V189" i="1"/>
  <c r="U110" i="1"/>
  <c r="Q132" i="1"/>
  <c r="U206" i="1"/>
  <c r="Q207" i="1"/>
  <c r="Q38" i="1"/>
  <c r="T196" i="1"/>
  <c r="U91" i="1"/>
  <c r="P164" i="1"/>
  <c r="R160" i="1"/>
  <c r="S114" i="1"/>
  <c r="R65" i="1"/>
  <c r="R86" i="1"/>
  <c r="W52" i="1"/>
  <c r="R36" i="1"/>
  <c r="Q69" i="1"/>
  <c r="P151" i="1"/>
  <c r="V84" i="1"/>
  <c r="T85" i="1"/>
  <c r="R191" i="1"/>
  <c r="P83" i="1"/>
  <c r="U176" i="1"/>
  <c r="W70" i="1"/>
  <c r="R122" i="1"/>
  <c r="S215" i="1"/>
  <c r="P86" i="1"/>
  <c r="T44" i="1"/>
  <c r="R80" i="1"/>
  <c r="P105" i="1"/>
  <c r="T151" i="1"/>
  <c r="U129" i="1"/>
  <c r="W132" i="1"/>
  <c r="V168" i="1"/>
  <c r="Q50" i="1"/>
  <c r="V83" i="1"/>
  <c r="Q124" i="1"/>
  <c r="S120" i="1"/>
  <c r="P234" i="1"/>
  <c r="U104" i="1"/>
  <c r="Q174" i="1"/>
  <c r="V35" i="1"/>
  <c r="R207" i="1"/>
  <c r="W210" i="1"/>
  <c r="Q119" i="1"/>
  <c r="Q228" i="1"/>
  <c r="Q122" i="1"/>
  <c r="S42" i="1"/>
  <c r="W125" i="1"/>
  <c r="U35" i="1"/>
  <c r="W154" i="1"/>
  <c r="P118" i="1"/>
  <c r="V56" i="1"/>
  <c r="P187" i="1"/>
  <c r="W95" i="1"/>
  <c r="V55" i="1"/>
  <c r="T205" i="1"/>
  <c r="W49" i="1"/>
  <c r="V67" i="1"/>
  <c r="S214" i="1"/>
  <c r="R138" i="1"/>
  <c r="R134" i="1"/>
  <c r="S173" i="1"/>
  <c r="W224" i="1"/>
  <c r="W65" i="1"/>
  <c r="W231" i="1"/>
  <c r="V108" i="1"/>
  <c r="W44" i="1"/>
  <c r="S84" i="1"/>
  <c r="U100" i="1"/>
  <c r="T220" i="1"/>
  <c r="V32" i="1"/>
  <c r="W102" i="1"/>
  <c r="P49" i="1"/>
  <c r="Q163" i="1"/>
  <c r="U209" i="1"/>
  <c r="S162" i="1"/>
  <c r="W36" i="1"/>
  <c r="Q52" i="1"/>
  <c r="T195" i="1"/>
  <c r="V197" i="1"/>
  <c r="Q230" i="1"/>
  <c r="U45" i="1"/>
  <c r="T188" i="1"/>
  <c r="Q151" i="1"/>
  <c r="P182" i="1"/>
  <c r="Q212" i="1"/>
  <c r="W135" i="1"/>
  <c r="Q150" i="1"/>
  <c r="S206" i="1"/>
  <c r="V111" i="1"/>
  <c r="Q120" i="1"/>
  <c r="R121" i="1"/>
  <c r="Q196" i="1"/>
  <c r="U234" i="1"/>
  <c r="R131" i="1"/>
  <c r="U122" i="1"/>
  <c r="R227" i="1"/>
  <c r="R129" i="1"/>
  <c r="T112" i="1"/>
  <c r="Q159" i="1"/>
  <c r="Q125" i="1"/>
  <c r="V156" i="1"/>
  <c r="S75" i="1"/>
  <c r="W148" i="1"/>
  <c r="Q68" i="1"/>
  <c r="Q180" i="1"/>
  <c r="P225" i="1"/>
  <c r="R59" i="1"/>
  <c r="W53" i="1"/>
  <c r="V88" i="1"/>
  <c r="V147" i="1"/>
  <c r="S181" i="1"/>
  <c r="U156" i="1"/>
  <c r="T200" i="1"/>
  <c r="S180" i="1"/>
  <c r="S97" i="1"/>
  <c r="Q54" i="1"/>
  <c r="W207" i="1"/>
  <c r="V99" i="1"/>
  <c r="T94" i="1"/>
  <c r="P210" i="1"/>
  <c r="U167" i="1"/>
  <c r="U155" i="1"/>
  <c r="U154" i="1"/>
  <c r="R195" i="1"/>
  <c r="V98" i="1"/>
  <c r="R113" i="1"/>
  <c r="R62" i="1"/>
  <c r="Q136" i="1"/>
  <c r="R111" i="1"/>
  <c r="W54" i="1"/>
  <c r="W131" i="1"/>
  <c r="S46" i="1"/>
  <c r="R205" i="1"/>
  <c r="S49" i="1"/>
  <c r="W223" i="1"/>
  <c r="S226" i="1"/>
  <c r="P38" i="1"/>
  <c r="U138" i="1"/>
  <c r="R110" i="1"/>
  <c r="W57" i="1"/>
  <c r="P130" i="1"/>
  <c r="U181" i="1"/>
  <c r="P142" i="1"/>
  <c r="P91" i="1"/>
  <c r="P190" i="1"/>
  <c r="U147" i="1"/>
  <c r="V225" i="1"/>
  <c r="Q104" i="1"/>
  <c r="Q193" i="1"/>
  <c r="R99" i="1"/>
  <c r="S90" i="1"/>
  <c r="P158" i="1"/>
  <c r="V187" i="1"/>
  <c r="U223" i="1"/>
  <c r="W157" i="1"/>
  <c r="S111" i="1"/>
  <c r="S171" i="1"/>
  <c r="W147" i="1"/>
  <c r="U133" i="1"/>
  <c r="T58" i="1"/>
  <c r="Q70" i="1"/>
  <c r="W190" i="1"/>
  <c r="R115" i="1"/>
  <c r="V69" i="1"/>
  <c r="V151" i="1"/>
  <c r="R40" i="1"/>
  <c r="V70" i="1"/>
  <c r="R163" i="1"/>
  <c r="Q121" i="1"/>
  <c r="T73" i="1"/>
  <c r="U107" i="1"/>
  <c r="R190" i="1"/>
  <c r="P232" i="1"/>
  <c r="W191" i="1"/>
  <c r="T54" i="1"/>
  <c r="U64" i="1"/>
  <c r="P222" i="1"/>
  <c r="P174" i="1"/>
  <c r="R78" i="1"/>
  <c r="S132" i="1"/>
  <c r="V44" i="1"/>
  <c r="P183" i="1"/>
  <c r="V199" i="1"/>
  <c r="T101" i="1"/>
  <c r="V133" i="1"/>
  <c r="R84" i="1"/>
  <c r="W213" i="1"/>
  <c r="W124" i="1"/>
  <c r="R41" i="1"/>
  <c r="W93" i="1"/>
  <c r="R130" i="1"/>
  <c r="P32" i="1"/>
  <c r="R219" i="1"/>
  <c r="P141" i="1"/>
  <c r="V226" i="1"/>
  <c r="P145" i="1"/>
  <c r="S177" i="1"/>
  <c r="R187" i="1"/>
  <c r="P173" i="1"/>
  <c r="W206" i="1"/>
  <c r="T104" i="1"/>
  <c r="S151" i="1"/>
  <c r="R204" i="1"/>
  <c r="S185" i="1"/>
  <c r="R228" i="1"/>
  <c r="U198" i="1"/>
  <c r="S64" i="1"/>
  <c r="W101" i="1"/>
  <c r="W109" i="1"/>
  <c r="U200" i="1"/>
  <c r="S59" i="1"/>
  <c r="S138" i="1"/>
  <c r="P184" i="1"/>
  <c r="V90" i="1"/>
  <c r="T110" i="1"/>
  <c r="R79" i="1"/>
  <c r="V57" i="1"/>
  <c r="V164" i="1"/>
  <c r="V140" i="1"/>
  <c r="Q36" i="1"/>
  <c r="T176" i="1"/>
  <c r="Q213" i="1"/>
  <c r="S153" i="1"/>
  <c r="Q127" i="1"/>
  <c r="Q96" i="1"/>
  <c r="S202" i="1"/>
  <c r="P196" i="1"/>
  <c r="Q145" i="1"/>
  <c r="Q72" i="1"/>
  <c r="Q99" i="1"/>
  <c r="P70" i="1"/>
  <c r="V223" i="1"/>
  <c r="V211" i="1"/>
  <c r="Q87" i="1"/>
  <c r="W81" i="1"/>
  <c r="P98" i="1"/>
  <c r="R158" i="1"/>
  <c r="T53" i="1"/>
  <c r="V195" i="1"/>
  <c r="R93" i="1"/>
  <c r="V143" i="1"/>
  <c r="Q53" i="1"/>
  <c r="V154" i="1"/>
  <c r="T39" i="1"/>
  <c r="S89" i="1"/>
  <c r="Q148" i="1"/>
  <c r="Q201" i="1"/>
  <c r="W196" i="1"/>
  <c r="R49" i="1"/>
  <c r="W74" i="1"/>
  <c r="S157" i="1"/>
  <c r="V162" i="1"/>
  <c r="W108" i="1"/>
  <c r="S126" i="1"/>
  <c r="U43" i="1"/>
  <c r="R189" i="1"/>
  <c r="W47" i="1"/>
  <c r="P189" i="1"/>
  <c r="V184" i="1"/>
  <c r="T120" i="1"/>
  <c r="R161" i="1"/>
  <c r="V212" i="1"/>
  <c r="P146" i="1"/>
  <c r="T87" i="1"/>
  <c r="R148" i="1"/>
  <c r="T96" i="1"/>
  <c r="V85" i="1"/>
  <c r="W98" i="1"/>
  <c r="U134" i="1"/>
  <c r="Q86" i="1"/>
  <c r="W100" i="1"/>
  <c r="T227" i="1"/>
  <c r="Q102" i="1"/>
  <c r="V40" i="1"/>
  <c r="P66" i="1"/>
  <c r="P111" i="1"/>
  <c r="P144" i="1"/>
  <c r="T172" i="1"/>
  <c r="Q73" i="1"/>
  <c r="R218" i="1"/>
  <c r="U76" i="1"/>
  <c r="Q147" i="1"/>
  <c r="Q62" i="1"/>
  <c r="R60" i="1"/>
  <c r="S83" i="1"/>
  <c r="S194" i="1"/>
  <c r="P167" i="1"/>
  <c r="W146" i="1"/>
  <c r="R50" i="1"/>
  <c r="T229" i="1"/>
  <c r="T138" i="1"/>
  <c r="S211" i="1"/>
  <c r="P129" i="1"/>
  <c r="T147" i="1"/>
  <c r="R180" i="1"/>
  <c r="Q210" i="1"/>
  <c r="S163" i="1"/>
  <c r="V169" i="1"/>
  <c r="P82" i="1"/>
  <c r="S192" i="1"/>
  <c r="W79" i="1"/>
  <c r="V41" i="1"/>
  <c r="U159" i="1"/>
  <c r="W145" i="1"/>
  <c r="Q154" i="1"/>
  <c r="V229" i="1"/>
  <c r="S69" i="1"/>
  <c r="W185" i="1"/>
  <c r="V54" i="1"/>
  <c r="W143" i="1"/>
  <c r="P51" i="1"/>
  <c r="R151" i="1"/>
  <c r="R83" i="1"/>
  <c r="P116" i="1"/>
  <c r="T134" i="1"/>
  <c r="T129" i="1"/>
  <c r="T146" i="1"/>
  <c r="S56" i="1"/>
  <c r="U32" i="1"/>
  <c r="V232" i="1"/>
  <c r="R210" i="1"/>
  <c r="Q179" i="1"/>
  <c r="V153" i="1"/>
  <c r="R77" i="1"/>
  <c r="T115" i="1"/>
  <c r="P223" i="1"/>
  <c r="Q75" i="1"/>
  <c r="R32" i="1"/>
  <c r="Q137" i="1"/>
  <c r="T92" i="1"/>
  <c r="S229" i="1"/>
  <c r="R98" i="1"/>
  <c r="W73" i="1"/>
  <c r="W89" i="1"/>
  <c r="P199" i="1"/>
  <c r="U166" i="1"/>
  <c r="W88" i="1"/>
  <c r="Q171" i="1"/>
  <c r="T137" i="1"/>
  <c r="W82" i="1"/>
  <c r="S133" i="1"/>
  <c r="V102" i="1"/>
  <c r="Q88" i="1"/>
  <c r="Q183" i="1"/>
  <c r="W85" i="1"/>
  <c r="P165" i="1"/>
  <c r="W218" i="1"/>
  <c r="V172" i="1"/>
  <c r="T51" i="1"/>
  <c r="P226" i="1"/>
  <c r="R132" i="1"/>
  <c r="W69" i="1"/>
  <c r="T152" i="1"/>
  <c r="Q190" i="1"/>
  <c r="T234" i="1"/>
  <c r="Q47" i="1"/>
  <c r="T93" i="1"/>
  <c r="U97" i="1"/>
  <c r="T222" i="1"/>
  <c r="Q80" i="1"/>
  <c r="W167" i="1"/>
  <c r="S203" i="1"/>
  <c r="S186" i="1"/>
  <c r="T102" i="1"/>
  <c r="P159" i="1"/>
  <c r="V139" i="1"/>
  <c r="Q59" i="1"/>
  <c r="P132" i="1"/>
  <c r="T79" i="1"/>
  <c r="W66" i="1"/>
  <c r="S149" i="1"/>
  <c r="T160" i="1"/>
  <c r="U164" i="1"/>
  <c r="U109" i="1"/>
  <c r="P54" i="1"/>
  <c r="P163" i="1"/>
  <c r="R57" i="1"/>
  <c r="V73" i="1"/>
  <c r="R196" i="1"/>
  <c r="V76" i="1"/>
  <c r="S102" i="1"/>
  <c r="Q51" i="1"/>
  <c r="S81" i="1"/>
  <c r="W123" i="1"/>
  <c r="Q168" i="1"/>
  <c r="S161" i="1"/>
  <c r="R224" i="1"/>
  <c r="P175" i="1"/>
  <c r="S71" i="1"/>
  <c r="R127" i="1"/>
  <c r="R116" i="1"/>
  <c r="W64" i="1"/>
  <c r="T89" i="1"/>
  <c r="W195" i="1"/>
  <c r="U213" i="1"/>
  <c r="T150" i="1"/>
  <c r="W87" i="1"/>
  <c r="Q64" i="1"/>
  <c r="Q146" i="1"/>
  <c r="S47" i="1"/>
  <c r="V36" i="1"/>
  <c r="V163" i="1"/>
  <c r="Q191" i="1"/>
  <c r="P59" i="1"/>
  <c r="R188" i="1"/>
  <c r="V210" i="1"/>
  <c r="U72" i="1"/>
  <c r="P107" i="1"/>
  <c r="W111" i="1"/>
  <c r="S107" i="1"/>
  <c r="W226" i="1"/>
  <c r="T197" i="1"/>
  <c r="V45" i="1"/>
  <c r="Q184" i="1"/>
  <c r="S58" i="1"/>
  <c r="W67" i="1"/>
  <c r="T136" i="1"/>
  <c r="U226" i="1"/>
  <c r="R208" i="1"/>
  <c r="P204" i="1"/>
  <c r="W186" i="1"/>
  <c r="W139" i="1"/>
  <c r="S137" i="1"/>
  <c r="U95" i="1"/>
  <c r="S189" i="1"/>
  <c r="S204" i="1"/>
  <c r="P206" i="1"/>
  <c r="P140" i="1"/>
  <c r="W96" i="1"/>
  <c r="W107" i="1"/>
  <c r="P121" i="1"/>
  <c r="Q199" i="1"/>
  <c r="T49" i="1"/>
  <c r="R178" i="1"/>
  <c r="P43" i="1"/>
  <c r="R106" i="1"/>
  <c r="T46" i="1"/>
  <c r="P85" i="1"/>
  <c r="U230" i="1"/>
  <c r="T126" i="1"/>
  <c r="P46" i="1"/>
  <c r="S219" i="1"/>
  <c r="Q218" i="1"/>
  <c r="V158" i="1"/>
  <c r="Q162" i="1"/>
  <c r="Q32" i="1"/>
  <c r="P231" i="1"/>
  <c r="P207" i="1"/>
  <c r="W217" i="1"/>
  <c r="Q48" i="1"/>
  <c r="P198" i="1"/>
  <c r="T224" i="1"/>
  <c r="U94" i="1"/>
  <c r="P155" i="1"/>
  <c r="V53" i="1"/>
  <c r="T141" i="1"/>
  <c r="W51" i="1"/>
  <c r="U170" i="1"/>
  <c r="W126" i="1"/>
  <c r="U157" i="1"/>
  <c r="W188" i="1"/>
  <c r="T105" i="1"/>
  <c r="W120" i="1"/>
  <c r="W38" i="1"/>
  <c r="U39" i="1"/>
  <c r="Q158" i="1"/>
  <c r="R144" i="1"/>
  <c r="V121" i="1"/>
  <c r="U190" i="1"/>
  <c r="W158" i="1"/>
  <c r="P94" i="1"/>
  <c r="U70" i="1"/>
  <c r="Q160" i="1"/>
  <c r="T218" i="1"/>
  <c r="U205" i="1"/>
  <c r="W189" i="1"/>
  <c r="V58" i="1"/>
  <c r="W37" i="1"/>
  <c r="R47" i="1"/>
  <c r="W59" i="1"/>
  <c r="R220" i="1"/>
  <c r="T66" i="1"/>
  <c r="S134" i="1"/>
  <c r="U168" i="1"/>
  <c r="W116" i="1"/>
  <c r="Q85" i="1"/>
  <c r="R109" i="1"/>
  <c r="U179" i="1"/>
  <c r="U77" i="1"/>
  <c r="S166" i="1"/>
  <c r="T123" i="1"/>
  <c r="Q211" i="1"/>
  <c r="T211" i="1"/>
  <c r="V200" i="1"/>
  <c r="S159" i="1"/>
  <c r="U75" i="1"/>
  <c r="U177" i="1"/>
  <c r="S230" i="1"/>
  <c r="W229" i="1"/>
  <c r="R124" i="1"/>
  <c r="S146" i="1"/>
  <c r="V79" i="1"/>
  <c r="U96" i="1"/>
  <c r="W216" i="1"/>
  <c r="V68" i="1"/>
  <c r="R165" i="1"/>
  <c r="U173" i="1"/>
  <c r="R193" i="1"/>
  <c r="R155" i="1"/>
  <c r="R70" i="1"/>
  <c r="V103" i="1"/>
  <c r="U178" i="1"/>
  <c r="V66" i="1"/>
  <c r="S92" i="1"/>
  <c r="S74" i="1"/>
  <c r="S160" i="1"/>
  <c r="Q106" i="1"/>
  <c r="T184" i="1"/>
  <c r="Q209" i="1"/>
  <c r="U162" i="1"/>
  <c r="T99" i="1"/>
  <c r="T213" i="1"/>
  <c r="S44" i="1"/>
  <c r="U52" i="1"/>
  <c r="V62" i="1"/>
  <c r="P149" i="1"/>
  <c r="W169" i="1"/>
  <c r="S224" i="1"/>
  <c r="R197" i="1"/>
  <c r="T189" i="1"/>
  <c r="P156" i="1"/>
  <c r="P80" i="1"/>
  <c r="V46" i="1"/>
  <c r="S88" i="1"/>
  <c r="U187" i="1"/>
  <c r="P126" i="1"/>
  <c r="U188" i="1"/>
  <c r="Q208" i="1"/>
  <c r="Q83" i="1"/>
  <c r="P95" i="1"/>
  <c r="Q189" i="1"/>
  <c r="S139" i="1"/>
  <c r="P139" i="1"/>
  <c r="S217" i="1"/>
  <c r="T132" i="1"/>
  <c r="Q156" i="1"/>
  <c r="W77" i="1"/>
  <c r="S57" i="1"/>
  <c r="T127" i="1"/>
  <c r="T207" i="1"/>
  <c r="T142" i="1"/>
  <c r="W205" i="1"/>
  <c r="U215" i="1"/>
  <c r="Q66" i="1"/>
  <c r="P191" i="1"/>
  <c r="S191" i="1"/>
  <c r="S62" i="1"/>
  <c r="W144" i="1"/>
  <c r="T74" i="1"/>
  <c r="V107" i="1"/>
  <c r="U121" i="1"/>
  <c r="T41" i="1"/>
  <c r="W68" i="1"/>
  <c r="P55" i="1"/>
  <c r="R232" i="1"/>
  <c r="V134" i="1"/>
  <c r="U82" i="1"/>
  <c r="W166" i="1"/>
  <c r="P179" i="1"/>
  <c r="V109" i="1"/>
  <c r="U135" i="1"/>
  <c r="U214" i="1"/>
  <c r="S127" i="1"/>
  <c r="W197" i="1"/>
  <c r="R71" i="1"/>
  <c r="V89" i="1"/>
  <c r="U74" i="1"/>
  <c r="U136" i="1"/>
  <c r="U51" i="1"/>
  <c r="V126" i="1"/>
  <c r="T68" i="1"/>
  <c r="U210" i="1"/>
  <c r="V94" i="1"/>
  <c r="T42" i="1"/>
  <c r="U193" i="1"/>
  <c r="P152" i="1"/>
  <c r="R88" i="1"/>
  <c r="T185" i="1"/>
  <c r="V130" i="1"/>
  <c r="W115" i="1"/>
  <c r="Q123" i="1"/>
  <c r="T69" i="1"/>
  <c r="U78" i="1"/>
  <c r="T62" i="1"/>
  <c r="Q101" i="1"/>
  <c r="S36" i="1"/>
  <c r="U101" i="1"/>
  <c r="S130" i="1"/>
  <c r="R42" i="1"/>
  <c r="R101" i="1"/>
  <c r="T223" i="1"/>
  <c r="S228" i="1"/>
  <c r="V142" i="1"/>
  <c r="U143" i="1"/>
  <c r="T107" i="1"/>
  <c r="U42" i="1"/>
  <c r="T180" i="1"/>
  <c r="V117" i="1"/>
  <c r="S222" i="1"/>
  <c r="W163" i="1"/>
  <c r="Q144" i="1"/>
  <c r="S195" i="1"/>
  <c r="T83" i="1"/>
  <c r="V167" i="1"/>
  <c r="T77" i="1"/>
  <c r="T139" i="1"/>
  <c r="T145" i="1"/>
  <c r="T187" i="1"/>
  <c r="V42" i="1"/>
  <c r="R35" i="1"/>
  <c r="W61" i="1"/>
  <c r="U160" i="1"/>
  <c r="Q175" i="1"/>
  <c r="W192" i="1"/>
  <c r="Q220" i="1"/>
  <c r="S129" i="1"/>
  <c r="R39" i="1"/>
  <c r="V110" i="1"/>
  <c r="Q165" i="1"/>
  <c r="U102" i="1"/>
  <c r="Q42" i="1"/>
  <c r="T217" i="1"/>
  <c r="P224" i="1"/>
  <c r="W140" i="1"/>
  <c r="S100" i="1"/>
  <c r="T61" i="1"/>
  <c r="U144" i="1"/>
  <c r="W71" i="1"/>
  <c r="R226" i="1"/>
  <c r="S145" i="1"/>
  <c r="V208" i="1"/>
  <c r="R118" i="1"/>
  <c r="V231" i="1"/>
  <c r="V125" i="1"/>
  <c r="P216" i="1"/>
  <c r="P169" i="1"/>
  <c r="P227" i="1"/>
  <c r="W212" i="1"/>
  <c r="V105" i="1"/>
  <c r="R216" i="1"/>
  <c r="S39" i="1"/>
  <c r="T95" i="1"/>
  <c r="P127" i="1"/>
  <c r="T103" i="1"/>
  <c r="R48" i="1"/>
  <c r="V122" i="1"/>
  <c r="R156" i="1"/>
  <c r="U103" i="1"/>
  <c r="S104" i="1"/>
  <c r="U225" i="1"/>
  <c r="Q153" i="1"/>
  <c r="S140" i="1"/>
  <c r="Q141" i="1"/>
  <c r="T40" i="1"/>
  <c r="R91" i="1"/>
  <c r="W221" i="1"/>
  <c r="Q91" i="1"/>
  <c r="U182" i="1"/>
  <c r="U119" i="1"/>
  <c r="S165" i="1"/>
  <c r="Q164" i="1"/>
  <c r="T232" i="1"/>
  <c r="V149" i="1"/>
  <c r="P229" i="1"/>
  <c r="U116" i="1"/>
  <c r="V127" i="1"/>
  <c r="Q128" i="1"/>
  <c r="Q95" i="1"/>
  <c r="P39" i="1"/>
  <c r="U60" i="1"/>
  <c r="Q131" i="1"/>
  <c r="V230" i="1"/>
  <c r="T193" i="1"/>
  <c r="P135" i="1"/>
  <c r="T124" i="1"/>
  <c r="V120" i="1"/>
  <c r="S40" i="1"/>
  <c r="V72" i="1"/>
  <c r="R198" i="1"/>
  <c r="U217" i="1"/>
  <c r="R168" i="1"/>
  <c r="P100" i="1"/>
  <c r="T109" i="1"/>
  <c r="P154" i="1"/>
  <c r="P88" i="1"/>
  <c r="T47" i="1"/>
  <c r="Q202" i="1"/>
  <c r="W104" i="1"/>
  <c r="W42" i="1"/>
  <c r="P99" i="1"/>
  <c r="R90" i="1"/>
  <c r="W182" i="1"/>
  <c r="T43" i="1"/>
  <c r="V119" i="1"/>
  <c r="P172" i="1"/>
  <c r="P78" i="1"/>
  <c r="V183" i="1"/>
  <c r="V118" i="1"/>
  <c r="W222" i="1"/>
  <c r="Q93" i="1"/>
  <c r="R55" i="1"/>
  <c r="R203" i="1"/>
  <c r="R108" i="1"/>
  <c r="R173" i="1"/>
  <c r="Q138" i="1"/>
  <c r="S164" i="1"/>
  <c r="V160" i="1"/>
  <c r="T170" i="1"/>
  <c r="Q195" i="1"/>
  <c r="W233" i="1"/>
  <c r="Q61" i="1"/>
  <c r="U49" i="1"/>
  <c r="P81" i="1"/>
  <c r="S61" i="1"/>
  <c r="S179" i="1"/>
  <c r="Q58" i="1"/>
  <c r="P92" i="1"/>
  <c r="P62" i="1"/>
  <c r="Q155" i="1"/>
  <c r="V65" i="1"/>
  <c r="V97" i="1"/>
  <c r="R45" i="1"/>
  <c r="V61" i="1"/>
  <c r="U67" i="1"/>
  <c r="S128" i="1"/>
  <c r="V176" i="1"/>
  <c r="W204" i="1"/>
  <c r="Q63" i="1"/>
  <c r="V202" i="1"/>
  <c r="U192" i="1"/>
  <c r="V74" i="1"/>
  <c r="W176" i="1"/>
  <c r="U99" i="1"/>
  <c r="S37" i="1"/>
  <c r="U88" i="1"/>
  <c r="Q40" i="1"/>
  <c r="W56" i="1"/>
  <c r="R117" i="1"/>
  <c r="V39" i="1"/>
  <c r="Q170" i="1"/>
  <c r="P75" i="1"/>
  <c r="R229" i="1"/>
  <c r="V150" i="1"/>
  <c r="V217" i="1"/>
  <c r="R100" i="1"/>
  <c r="S174" i="1"/>
  <c r="R123" i="1"/>
  <c r="T106" i="1"/>
  <c r="W178" i="1"/>
  <c r="U220" i="1"/>
  <c r="S184" i="1"/>
  <c r="Q149" i="1"/>
  <c r="T192" i="1"/>
  <c r="P192" i="1"/>
  <c r="T38" i="1"/>
  <c r="Q178" i="1"/>
  <c r="R223" i="1"/>
  <c r="P166" i="1"/>
  <c r="P58" i="1"/>
  <c r="S85" i="1"/>
  <c r="W227" i="1"/>
  <c r="P153" i="1"/>
  <c r="Q115" i="1"/>
  <c r="Q134" i="1"/>
  <c r="W161" i="1"/>
  <c r="R66" i="1"/>
  <c r="T186" i="1"/>
  <c r="W232" i="1"/>
  <c r="S106" i="1"/>
  <c r="W80" i="1"/>
  <c r="P157" i="1"/>
  <c r="V96" i="1"/>
  <c r="U194" i="1"/>
  <c r="S125" i="1"/>
  <c r="U59" i="1"/>
  <c r="R128" i="1"/>
  <c r="P177" i="1"/>
  <c r="T226" i="1"/>
  <c r="U46" i="1"/>
  <c r="U80" i="1"/>
  <c r="P147" i="1"/>
  <c r="Q77" i="1"/>
  <c r="P76" i="1"/>
  <c r="W200" i="1"/>
  <c r="V224" i="1"/>
  <c r="W184" i="1"/>
  <c r="T158" i="1"/>
  <c r="T57" i="1"/>
  <c r="T98" i="1"/>
  <c r="W156" i="1"/>
  <c r="Q97" i="1"/>
  <c r="Q46" i="1"/>
  <c r="P89" i="1"/>
  <c r="V228" i="1"/>
  <c r="W137" i="1"/>
  <c r="T65" i="1"/>
  <c r="S142" i="1"/>
  <c r="T97" i="1"/>
  <c r="P136" i="1"/>
  <c r="R154" i="1"/>
  <c r="V209" i="1"/>
  <c r="R182" i="1"/>
  <c r="T88" i="1"/>
  <c r="U183" i="1"/>
  <c r="S66" i="1"/>
  <c r="T64" i="1"/>
  <c r="S172" i="1"/>
  <c r="T144" i="1"/>
  <c r="T128" i="1"/>
  <c r="U233" i="1"/>
  <c r="Q182" i="1"/>
  <c r="U113" i="1"/>
  <c r="V227" i="1"/>
  <c r="P109" i="1"/>
  <c r="U208" i="1"/>
  <c r="S65" i="1"/>
  <c r="S147" i="1"/>
  <c r="S199" i="1"/>
  <c r="U219" i="1"/>
  <c r="U36" i="1"/>
  <c r="Q109" i="1"/>
  <c r="S103" i="1"/>
  <c r="R68" i="1"/>
  <c r="P203" i="1"/>
  <c r="U207" i="1"/>
  <c r="T215" i="1"/>
  <c r="U111" i="1"/>
  <c r="U106" i="1"/>
  <c r="V196" i="1"/>
  <c r="S223" i="1"/>
  <c r="W94" i="1"/>
  <c r="W201" i="1"/>
  <c r="U211" i="1"/>
  <c r="R125" i="1"/>
  <c r="Q226" i="1"/>
  <c r="Q166" i="1"/>
  <c r="V86" i="1"/>
  <c r="Q181" i="1"/>
  <c r="P110" i="1"/>
  <c r="R215" i="1"/>
  <c r="W128" i="1"/>
  <c r="Q129" i="1"/>
  <c r="R231" i="1"/>
  <c r="P161" i="1"/>
  <c r="U145" i="1"/>
  <c r="V186" i="1"/>
  <c r="V188" i="1"/>
  <c r="R192" i="1"/>
  <c r="R114" i="1"/>
  <c r="T80" i="1"/>
  <c r="R105" i="1"/>
  <c r="Q206" i="1"/>
  <c r="S175" i="1"/>
  <c r="T50" i="1"/>
  <c r="S60" i="1"/>
  <c r="P122" i="1"/>
  <c r="T177" i="1"/>
  <c r="W149" i="1"/>
  <c r="W162" i="1"/>
  <c r="P71" i="1"/>
  <c r="V191" i="1"/>
  <c r="V166" i="1"/>
  <c r="Q232" i="1"/>
  <c r="Q225" i="1"/>
  <c r="S41" i="1"/>
  <c r="U137" i="1"/>
  <c r="S218" i="1"/>
  <c r="T100" i="1"/>
  <c r="U130" i="1"/>
  <c r="U55" i="1"/>
  <c r="V178" i="1"/>
  <c r="P97" i="1"/>
  <c r="S45" i="1"/>
  <c r="P108" i="1"/>
  <c r="Q161" i="1"/>
  <c r="T209" i="1"/>
  <c r="T140" i="1"/>
  <c r="P201" i="1"/>
  <c r="S68" i="1"/>
  <c r="W110" i="1"/>
  <c r="R221" i="1"/>
  <c r="Q167" i="1"/>
  <c r="V104" i="1"/>
  <c r="R139" i="1"/>
  <c r="V165" i="1"/>
  <c r="P77" i="1"/>
  <c r="R152" i="1"/>
  <c r="P185" i="1"/>
  <c r="S115" i="1"/>
  <c r="V82" i="1"/>
  <c r="S76" i="1"/>
  <c r="U65" i="1"/>
  <c r="R212" i="1"/>
  <c r="W155" i="1"/>
  <c r="T82" i="1"/>
  <c r="U98" i="1"/>
  <c r="V180" i="1"/>
  <c r="T135" i="1"/>
  <c r="V173" i="1"/>
  <c r="W114" i="1"/>
  <c r="T60" i="1"/>
  <c r="W220" i="1"/>
  <c r="Q221" i="1"/>
  <c r="P181" i="1"/>
  <c r="Q157" i="1"/>
  <c r="S182" i="1"/>
  <c r="Q74" i="1"/>
  <c r="V234" i="1"/>
  <c r="R206" i="1"/>
  <c r="W187" i="1"/>
  <c r="Q169" i="1"/>
  <c r="Q103" i="1"/>
  <c r="R217" i="1"/>
  <c r="Q105" i="1"/>
  <c r="V131" i="1"/>
  <c r="Q219" i="1"/>
  <c r="R146" i="1"/>
  <c r="W150" i="1"/>
  <c r="S144" i="1"/>
  <c r="U232" i="1"/>
  <c r="T59" i="1"/>
  <c r="T36" i="1"/>
  <c r="S156" i="1"/>
  <c r="S170" i="1"/>
  <c r="T161" i="1"/>
  <c r="S109" i="1"/>
  <c r="S155" i="1"/>
  <c r="U185" i="1"/>
  <c r="W164" i="1"/>
  <c r="T52" i="1"/>
  <c r="R103" i="1"/>
  <c r="V192" i="1"/>
  <c r="Q215" i="1"/>
  <c r="V182" i="1"/>
  <c r="S124" i="1"/>
  <c r="T230" i="1"/>
  <c r="R202" i="1"/>
  <c r="T91" i="1"/>
  <c r="U216" i="1"/>
  <c r="U117" i="1"/>
  <c r="T113" i="1"/>
  <c r="Q200" i="1"/>
  <c r="T201" i="1"/>
  <c r="W183" i="1"/>
  <c r="R230" i="1"/>
  <c r="T155" i="1"/>
  <c r="U203" i="1"/>
  <c r="T156" i="1"/>
  <c r="W202" i="1"/>
  <c r="T208" i="1"/>
  <c r="W168" i="1"/>
  <c r="P230" i="1"/>
  <c r="T131" i="1"/>
  <c r="Q41" i="1"/>
  <c r="Q107" i="1"/>
  <c r="U126" i="1"/>
  <c r="Q152" i="1"/>
  <c r="Q135" i="1"/>
  <c r="P171" i="1"/>
  <c r="Q143" i="1"/>
  <c r="Q176" i="1"/>
  <c r="U120" i="1"/>
  <c r="V38" i="1"/>
  <c r="Q233" i="1"/>
  <c r="V138" i="1"/>
  <c r="Q110" i="1"/>
  <c r="R164" i="1"/>
  <c r="U81" i="1"/>
  <c r="T166" i="1"/>
  <c r="R58" i="1"/>
  <c r="V220" i="1"/>
  <c r="Q234" i="1"/>
  <c r="W48" i="1"/>
  <c r="T71" i="1"/>
  <c r="V81" i="1"/>
  <c r="S221" i="1"/>
  <c r="T210" i="1"/>
  <c r="S73" i="1"/>
  <c r="R81" i="1"/>
  <c r="S99" i="1"/>
  <c r="T70" i="1"/>
  <c r="V64" i="1"/>
  <c r="V71" i="1"/>
  <c r="Q185" i="1"/>
  <c r="R94" i="1"/>
  <c r="W170" i="1"/>
  <c r="W127" i="1"/>
  <c r="P205" i="1"/>
  <c r="V95" i="1"/>
  <c r="P220" i="1"/>
  <c r="V198" i="1"/>
  <c r="R82" i="1"/>
  <c r="Q98" i="1"/>
  <c r="U93" i="1"/>
  <c r="Q186" i="1"/>
  <c r="W121" i="1"/>
  <c r="Q56" i="1"/>
  <c r="T125" i="1"/>
  <c r="W45" i="1"/>
  <c r="S72" i="1"/>
  <c r="R176" i="1"/>
  <c r="U228" i="1"/>
  <c r="R179" i="1"/>
  <c r="U153" i="1"/>
  <c r="V52" i="1"/>
  <c r="W194" i="1"/>
  <c r="R185" i="1"/>
  <c r="P188" i="1"/>
  <c r="W83" i="1"/>
  <c r="S190" i="1"/>
  <c r="T133" i="1"/>
  <c r="W50" i="1"/>
  <c r="U79" i="1"/>
  <c r="V159" i="1"/>
  <c r="V221" i="1"/>
  <c r="V135" i="1"/>
  <c r="U150" i="1"/>
  <c r="P228" i="1"/>
  <c r="R186" i="1"/>
  <c r="T121" i="1"/>
  <c r="W172" i="1"/>
  <c r="U191" i="1"/>
  <c r="R38" i="1"/>
  <c r="R126" i="1"/>
  <c r="P112" i="1"/>
  <c r="U92" i="1"/>
  <c r="P131" i="1"/>
  <c r="T81" i="1"/>
  <c r="R44" i="1"/>
  <c r="S233" i="1"/>
  <c r="S141" i="1"/>
  <c r="P101" i="1"/>
  <c r="U195" i="1"/>
  <c r="S112" i="1"/>
  <c r="Q142" i="1"/>
  <c r="Q224" i="1"/>
  <c r="W159" i="1"/>
  <c r="V80" i="1"/>
  <c r="S116" i="1"/>
  <c r="T55" i="1"/>
  <c r="W92" i="1"/>
  <c r="V106" i="1"/>
  <c r="W105" i="1"/>
  <c r="T108" i="1"/>
  <c r="V218" i="1"/>
  <c r="U47" i="1"/>
  <c r="S52" i="1"/>
  <c r="V193" i="1"/>
  <c r="T168" i="1"/>
  <c r="U56" i="1"/>
  <c r="T90" i="1"/>
  <c r="W174" i="1"/>
  <c r="U151" i="1"/>
  <c r="R61" i="1"/>
  <c r="T203" i="1"/>
  <c r="T63" i="1"/>
  <c r="Q173" i="1"/>
  <c r="T190" i="1"/>
  <c r="W138" i="1"/>
  <c r="S209" i="1"/>
  <c r="Q194" i="1"/>
  <c r="S86" i="1"/>
  <c r="W58" i="1"/>
  <c r="S38" i="1"/>
  <c r="U85" i="1"/>
  <c r="Q44" i="1"/>
  <c r="W175" i="1"/>
  <c r="U58" i="1"/>
  <c r="S105" i="1"/>
  <c r="P42" i="1"/>
  <c r="V219" i="1"/>
  <c r="T76" i="1"/>
  <c r="S82" i="1"/>
  <c r="P45" i="1"/>
  <c r="P217" i="1"/>
  <c r="V100" i="1"/>
  <c r="U172" i="1"/>
  <c r="P160" i="1"/>
  <c r="W193" i="1"/>
  <c r="R184" i="1"/>
  <c r="R175" i="1"/>
  <c r="S168" i="1"/>
  <c r="S208" i="1"/>
  <c r="Q89" i="1"/>
  <c r="R53" i="1"/>
  <c r="W63" i="1"/>
  <c r="W112" i="1"/>
  <c r="R89" i="1"/>
  <c r="T159" i="1"/>
  <c r="R234" i="1"/>
  <c r="R46" i="1"/>
  <c r="Q217" i="1"/>
  <c r="T173" i="1"/>
  <c r="U128" i="1"/>
  <c r="U115" i="1"/>
  <c r="T199" i="1"/>
  <c r="W91" i="1"/>
  <c r="T164" i="1"/>
  <c r="P134" i="1"/>
  <c r="U105" i="1"/>
  <c r="V141" i="1"/>
  <c r="V75" i="1"/>
  <c r="Q39" i="1"/>
  <c r="R233" i="1"/>
  <c r="Q222" i="1"/>
  <c r="T183" i="1"/>
  <c r="T149" i="1"/>
  <c r="W215" i="1"/>
  <c r="R199" i="1"/>
  <c r="V48" i="1"/>
  <c r="W97" i="1"/>
  <c r="V92" i="1"/>
  <c r="W78" i="1"/>
  <c r="P186" i="1"/>
  <c r="P103" i="1"/>
  <c r="S91" i="1"/>
  <c r="T194" i="1"/>
  <c r="U180" i="1"/>
  <c r="R214" i="1"/>
  <c r="W152" i="1"/>
  <c r="P200" i="1"/>
  <c r="R166" i="1"/>
  <c r="V87" i="1"/>
  <c r="U227" i="1"/>
  <c r="V101" i="1"/>
  <c r="Q139" i="1"/>
  <c r="Q231" i="1"/>
  <c r="P194" i="1"/>
  <c r="T171" i="1"/>
  <c r="U63" i="1"/>
  <c r="P133" i="1"/>
  <c r="R102" i="1"/>
  <c r="Q177" i="1"/>
  <c r="T75" i="1"/>
  <c r="S136" i="1"/>
  <c r="W142" i="1"/>
  <c r="V51" i="1"/>
  <c r="U218" i="1"/>
  <c r="R85" i="1"/>
  <c r="W173" i="1"/>
  <c r="R133" i="1"/>
  <c r="R159" i="1"/>
  <c r="S80" i="1"/>
  <c r="V129" i="1"/>
  <c r="T116" i="1"/>
  <c r="P84" i="1"/>
  <c r="R150" i="1"/>
  <c r="S150" i="1"/>
  <c r="T163" i="1"/>
  <c r="T122" i="1"/>
  <c r="T181" i="1"/>
  <c r="V91" i="1"/>
  <c r="R74" i="1"/>
  <c r="S79" i="1"/>
  <c r="R56" i="1"/>
  <c r="W60" i="1"/>
  <c r="W199" i="1"/>
  <c r="U68" i="1"/>
  <c r="Q65" i="1"/>
  <c r="V128" i="1"/>
  <c r="U189" i="1"/>
  <c r="U44" i="1"/>
  <c r="T117" i="1"/>
  <c r="T225" i="1"/>
  <c r="R222" i="1"/>
  <c r="R135" i="1"/>
  <c r="S121" i="1"/>
  <c r="Q90" i="1"/>
  <c r="W171" i="1"/>
  <c r="U204" i="1"/>
  <c r="R72" i="1"/>
  <c r="T148" i="1"/>
  <c r="R177" i="1"/>
  <c r="S213" i="1"/>
  <c r="Q172" i="1"/>
  <c r="U163" i="1"/>
  <c r="U108" i="1"/>
  <c r="W136" i="1"/>
  <c r="S212" i="1"/>
  <c r="W181" i="1"/>
  <c r="W90" i="1"/>
  <c r="V205" i="1"/>
  <c r="V77" i="1"/>
  <c r="S234" i="1"/>
  <c r="S232" i="1"/>
  <c r="S43" i="1"/>
  <c r="W113" i="1"/>
  <c r="P120" i="1"/>
  <c r="U37" i="1"/>
  <c r="U158" i="1"/>
  <c r="T191" i="1"/>
  <c r="V49" i="1"/>
  <c r="T233" i="1"/>
  <c r="V161" i="1"/>
  <c r="U224" i="1"/>
  <c r="Q49" i="1"/>
  <c r="T67" i="1"/>
  <c r="V60" i="1"/>
  <c r="V136" i="1"/>
  <c r="V59" i="1"/>
  <c r="V155" i="1"/>
  <c r="P180" i="1"/>
  <c r="U89" i="1"/>
  <c r="Q81" i="1"/>
  <c r="S135" i="1"/>
  <c r="W118" i="1"/>
  <c r="S176" i="1"/>
  <c r="Q130" i="1"/>
  <c r="U114" i="1"/>
  <c r="U57" i="1"/>
  <c r="V201" i="1"/>
  <c r="S198" i="1"/>
  <c r="S123" i="1"/>
  <c r="R69" i="1"/>
  <c r="U165" i="1"/>
  <c r="W177" i="1"/>
  <c r="W230" i="1"/>
  <c r="S205" i="1"/>
  <c r="R153" i="1"/>
  <c r="P63" i="1"/>
  <c r="R107" i="1"/>
  <c r="S200" i="1"/>
  <c r="P137" i="1"/>
  <c r="P168" i="1"/>
  <c r="P176" i="1"/>
  <c r="V190" i="1"/>
  <c r="S51" i="1"/>
  <c r="P48" i="1"/>
  <c r="Q76" i="1"/>
  <c r="S53" i="1"/>
  <c r="R52" i="1"/>
  <c r="P44" i="1"/>
  <c r="W46" i="1"/>
  <c r="T154" i="1"/>
  <c r="R73" i="1"/>
  <c r="U196" i="1"/>
  <c r="T162" i="1"/>
  <c r="V78" i="1"/>
  <c r="T165" i="1"/>
  <c r="Q112" i="1"/>
  <c r="T35" i="1"/>
  <c r="R76" i="1"/>
  <c r="P96" i="1"/>
  <c r="S227" i="1"/>
  <c r="T45" i="1"/>
  <c r="U231" i="1"/>
  <c r="U199" i="1"/>
  <c r="P150" i="1"/>
  <c r="V132" i="1"/>
  <c r="R120" i="1"/>
  <c r="S148" i="1"/>
  <c r="P218" i="1"/>
  <c r="V214" i="1"/>
  <c r="T212" i="1"/>
  <c r="R54" i="1"/>
  <c r="Q126" i="1"/>
  <c r="W86" i="1"/>
  <c r="V93" i="1"/>
  <c r="V148" i="1"/>
  <c r="W99" i="1"/>
  <c r="W203" i="1"/>
  <c r="T175" i="1"/>
  <c r="U53" i="1"/>
  <c r="W211" i="1"/>
  <c r="S143" i="1"/>
  <c r="Q133" i="1"/>
  <c r="S77" i="1"/>
  <c r="U127" i="1"/>
  <c r="U50" i="1"/>
  <c r="S131" i="1"/>
  <c r="P125" i="1"/>
  <c r="S193" i="1"/>
  <c r="U48" i="1"/>
  <c r="W165" i="1"/>
  <c r="T56" i="1"/>
  <c r="U149" i="1"/>
  <c r="U142" i="1"/>
  <c r="T231" i="1"/>
  <c r="Q94" i="1"/>
  <c r="T228" i="1"/>
  <c r="Q92" i="1"/>
  <c r="S154" i="1"/>
  <c r="S70" i="1"/>
  <c r="P215" i="1"/>
  <c r="R213" i="1"/>
  <c r="U146" i="1"/>
  <c r="P41" i="1"/>
  <c r="S119" i="1"/>
  <c r="T219" i="1"/>
  <c r="W141" i="1"/>
  <c r="S167" i="1"/>
  <c r="T114" i="1"/>
  <c r="S231" i="1"/>
  <c r="R201" i="1"/>
  <c r="V123" i="1"/>
  <c r="S67" i="1"/>
  <c r="S196" i="1"/>
  <c r="P35" i="1"/>
  <c r="V152" i="1"/>
  <c r="R211" i="1"/>
  <c r="U139" i="1"/>
  <c r="V204" i="1"/>
  <c r="V174" i="1"/>
  <c r="P114" i="1"/>
  <c r="U175" i="1"/>
  <c r="Q117" i="1"/>
  <c r="Q114" i="1"/>
  <c r="U131" i="1"/>
  <c r="S197" i="1"/>
  <c r="U84" i="1"/>
  <c r="U202" i="1"/>
  <c r="W208" i="1"/>
  <c r="R63" i="1"/>
  <c r="P52" i="1"/>
  <c r="U112" i="1"/>
  <c r="V181" i="1"/>
  <c r="P123" i="1"/>
  <c r="V113" i="1"/>
  <c r="V47" i="1"/>
  <c r="Y60" i="1"/>
  <c r="Y230" i="1"/>
  <c r="Y38" i="1"/>
  <c r="Y215" i="1"/>
  <c r="Y108" i="1"/>
  <c r="Y137" i="1"/>
  <c r="Y52" i="1"/>
  <c r="Y146" i="1"/>
  <c r="Y118" i="1"/>
  <c r="Y100" i="1"/>
  <c r="Y92" i="1"/>
  <c r="Y77" i="1"/>
  <c r="Y107" i="1"/>
  <c r="Y157" i="1"/>
  <c r="Y75" i="1"/>
  <c r="Y115" i="1"/>
  <c r="Y121" i="1"/>
  <c r="Y119" i="1"/>
  <c r="Y103" i="1"/>
  <c r="Y135" i="1"/>
  <c r="Y145" i="1"/>
  <c r="Y93" i="1"/>
  <c r="Y168" i="1"/>
  <c r="Y165" i="1"/>
  <c r="Y200" i="1"/>
  <c r="Y213" i="1"/>
  <c r="Y125" i="1"/>
  <c r="Y212" i="1"/>
  <c r="Y129" i="1"/>
  <c r="Y90" i="1"/>
  <c r="Y48" i="1"/>
  <c r="Y234" i="1"/>
  <c r="Y42" i="1"/>
  <c r="Y131" i="1"/>
  <c r="Y124" i="1"/>
  <c r="Y179" i="1"/>
  <c r="Y160" i="1"/>
  <c r="Y45" i="1"/>
  <c r="Y53" i="1"/>
  <c r="Y155" i="1"/>
  <c r="Y122" i="1"/>
  <c r="Y141" i="1"/>
  <c r="Y46" i="1"/>
  <c r="Y196" i="1"/>
  <c r="Y216" i="1"/>
  <c r="Y161" i="1"/>
  <c r="Y117" i="1"/>
  <c r="Y197" i="1"/>
  <c r="Y178" i="1"/>
  <c r="Y217" i="1"/>
  <c r="Y164" i="1"/>
  <c r="Y231" i="1"/>
  <c r="Y82" i="1"/>
  <c r="Y187" i="1"/>
  <c r="Y96" i="1"/>
  <c r="Y130" i="1"/>
  <c r="Y223" i="1"/>
  <c r="Y175" i="1"/>
  <c r="Y226" i="1"/>
  <c r="Y176" i="1"/>
  <c r="Y180" i="1"/>
  <c r="Y37" i="1"/>
  <c r="Y162" i="1"/>
  <c r="Y84" i="1"/>
  <c r="Y153" i="1"/>
  <c r="Y207" i="1"/>
  <c r="Y142" i="1"/>
  <c r="Y225" i="1"/>
  <c r="Y54" i="1"/>
  <c r="Y167" i="1"/>
  <c r="Y173" i="1"/>
  <c r="Y190" i="1"/>
  <c r="Y151" i="1"/>
  <c r="Y136" i="1"/>
  <c r="Y71" i="1"/>
  <c r="Y229" i="1"/>
  <c r="Y47" i="1"/>
  <c r="Y80" i="1"/>
  <c r="Y143" i="1"/>
  <c r="Y214" i="1"/>
  <c r="Y95" i="1"/>
  <c r="Y198" i="1"/>
  <c r="Y106" i="1"/>
  <c r="Y104" i="1"/>
  <c r="Y57" i="1"/>
  <c r="Y56" i="1"/>
  <c r="Y147" i="1"/>
  <c r="Y114" i="1"/>
  <c r="Y55" i="1"/>
  <c r="Y113" i="1"/>
  <c r="Y193" i="1"/>
  <c r="Y194" i="1"/>
  <c r="Y64" i="1"/>
  <c r="Y209" i="1"/>
  <c r="Y189" i="1"/>
  <c r="Y35" i="1"/>
  <c r="Y159" i="1"/>
  <c r="Y44" i="1"/>
  <c r="Y210" i="1"/>
  <c r="Y204" i="1"/>
  <c r="Y67" i="1"/>
  <c r="Y127" i="1"/>
  <c r="Y40" i="1"/>
  <c r="Y62" i="1"/>
  <c r="Y233" i="1"/>
  <c r="Y65" i="1"/>
  <c r="Y112" i="1"/>
  <c r="Y220" i="1"/>
  <c r="Y126" i="1"/>
  <c r="Y66" i="1"/>
  <c r="Y140" i="1"/>
  <c r="Y192" i="1"/>
  <c r="Y186" i="1"/>
  <c r="Y98" i="1"/>
  <c r="Y81" i="1"/>
  <c r="Y211" i="1"/>
  <c r="Y150" i="1"/>
  <c r="Y73" i="1"/>
  <c r="Y132" i="1"/>
  <c r="Y70" i="1"/>
  <c r="Y177" i="1"/>
  <c r="Y36" i="1"/>
  <c r="Y191" i="1"/>
  <c r="Y105" i="1"/>
  <c r="Y181" i="1"/>
  <c r="Y224" i="1"/>
  <c r="Y111" i="1"/>
  <c r="Y72" i="1"/>
  <c r="Y88" i="1"/>
  <c r="Y149" i="1"/>
  <c r="Y76" i="1"/>
  <c r="Y102" i="1"/>
  <c r="Y101" i="1"/>
  <c r="Y110" i="1"/>
  <c r="Y50" i="1"/>
  <c r="Y201" i="1"/>
  <c r="Y51" i="1"/>
  <c r="Y203" i="1"/>
  <c r="Y174" i="1"/>
  <c r="Y138" i="1"/>
  <c r="Y133" i="1"/>
  <c r="Y58" i="1"/>
  <c r="Y134" i="1"/>
  <c r="Y205" i="1"/>
  <c r="Y222" i="1"/>
  <c r="Y87" i="1"/>
  <c r="Y32" i="1"/>
  <c r="Y83" i="1"/>
  <c r="Y97" i="1"/>
  <c r="Y163" i="1"/>
  <c r="Y85" i="1"/>
  <c r="Y43" i="1"/>
  <c r="Y158" i="1"/>
  <c r="Y185" i="1"/>
  <c r="Y74" i="1"/>
  <c r="Y99" i="1"/>
  <c r="Y78" i="1"/>
  <c r="Y219" i="1"/>
  <c r="Y139" i="1"/>
  <c r="Y208" i="1"/>
  <c r="Y195" i="1"/>
  <c r="Y227" i="1"/>
  <c r="Y68" i="1"/>
  <c r="Y154" i="1"/>
  <c r="Y49" i="1"/>
  <c r="Y41" i="1"/>
  <c r="Y128" i="1"/>
  <c r="Y182" i="1"/>
  <c r="Y116" i="1"/>
  <c r="Y184" i="1"/>
  <c r="Y120" i="1"/>
  <c r="Y169" i="1"/>
  <c r="Y63" i="1"/>
  <c r="Y123" i="1"/>
  <c r="Y69" i="1"/>
  <c r="Y156" i="1"/>
  <c r="Y79" i="1"/>
  <c r="Y148" i="1"/>
  <c r="Y144" i="1"/>
  <c r="Y199" i="1"/>
  <c r="Y206" i="1"/>
  <c r="Y172" i="1"/>
  <c r="Y109" i="1"/>
  <c r="Y170" i="1"/>
  <c r="Y188" i="1"/>
  <c r="Y171" i="1"/>
  <c r="Y86" i="1"/>
  <c r="Y202" i="1"/>
  <c r="Y39" i="1"/>
  <c r="Y89" i="1"/>
  <c r="Y228" i="1"/>
  <c r="Y218" i="1"/>
  <c r="Y221" i="1"/>
  <c r="Y183" i="1"/>
  <c r="Y166" i="1"/>
  <c r="Y94" i="1"/>
  <c r="Y152" i="1"/>
  <c r="Y232" i="1"/>
  <c r="Y91" i="1"/>
  <c r="Y61" i="1"/>
  <c r="Y59" i="1"/>
  <c r="AD100" i="1" l="1"/>
  <c r="AD228" i="1"/>
  <c r="AD74" i="1"/>
  <c r="AD51" i="1"/>
  <c r="AD169" i="1"/>
  <c r="AD198" i="1"/>
  <c r="AD206" i="1"/>
  <c r="AD112" i="1"/>
  <c r="AD86" i="1"/>
  <c r="AD75" i="1"/>
  <c r="AD193" i="1"/>
  <c r="AD214" i="1"/>
  <c r="AD124" i="1"/>
  <c r="AD98" i="1"/>
  <c r="AD99" i="1"/>
  <c r="AD210" i="1"/>
  <c r="AD230" i="1"/>
  <c r="AD136" i="1"/>
  <c r="AD110" i="1"/>
  <c r="AD123" i="1"/>
  <c r="AD226" i="1"/>
  <c r="AD45" i="1"/>
  <c r="AD218" i="1"/>
  <c r="AD116" i="1"/>
  <c r="AD90" i="1"/>
  <c r="AD83" i="1"/>
  <c r="AD199" i="1"/>
  <c r="AD219" i="1"/>
  <c r="AD211" i="1"/>
  <c r="AD128" i="1"/>
  <c r="AD102" i="1"/>
  <c r="AD107" i="1"/>
  <c r="AD215" i="1"/>
  <c r="AD149" i="1"/>
  <c r="AD140" i="1"/>
  <c r="AD114" i="1"/>
  <c r="AD131" i="1"/>
  <c r="AD231" i="1"/>
  <c r="AD53" i="1"/>
  <c r="AD229" i="1"/>
  <c r="AD152" i="1"/>
  <c r="AD126" i="1"/>
  <c r="AD155" i="1"/>
  <c r="AD47" i="1"/>
  <c r="AD77" i="1"/>
  <c r="AD132" i="1"/>
  <c r="AD106" i="1"/>
  <c r="AD115" i="1"/>
  <c r="AD221" i="1"/>
  <c r="AD37" i="1"/>
  <c r="AD201" i="1"/>
  <c r="AD144" i="1"/>
  <c r="AD118" i="1"/>
  <c r="AD139" i="1"/>
  <c r="AD35" i="1"/>
  <c r="AD61" i="1"/>
  <c r="AD156" i="1"/>
  <c r="AD130" i="1"/>
  <c r="AD163" i="1"/>
  <c r="AD55" i="1"/>
  <c r="AD85" i="1"/>
  <c r="AD40" i="1"/>
  <c r="AD168" i="1"/>
  <c r="AD142" i="1"/>
  <c r="AD49" i="1"/>
  <c r="AD79" i="1"/>
  <c r="AD109" i="1"/>
  <c r="AD148" i="1"/>
  <c r="AD122" i="1"/>
  <c r="AD147" i="1"/>
  <c r="AD39" i="1"/>
  <c r="AD69" i="1"/>
  <c r="AD160" i="1"/>
  <c r="AD134" i="1"/>
  <c r="AD171" i="1"/>
  <c r="AD63" i="1"/>
  <c r="AD93" i="1"/>
  <c r="AD44" i="1"/>
  <c r="AD172" i="1"/>
  <c r="AD146" i="1"/>
  <c r="AD57" i="1"/>
  <c r="AD87" i="1"/>
  <c r="AD117" i="1"/>
  <c r="AD56" i="1"/>
  <c r="AD184" i="1"/>
  <c r="AD158" i="1"/>
  <c r="AD81" i="1"/>
  <c r="AD111" i="1"/>
  <c r="AD141" i="1"/>
  <c r="AD36" i="1"/>
  <c r="AD164" i="1"/>
  <c r="AD138" i="1"/>
  <c r="AD41" i="1"/>
  <c r="AD71" i="1"/>
  <c r="AD101" i="1"/>
  <c r="AD48" i="1"/>
  <c r="AD176" i="1"/>
  <c r="AD150" i="1"/>
  <c r="AD65" i="1"/>
  <c r="AD95" i="1"/>
  <c r="AD125" i="1"/>
  <c r="AD195" i="1"/>
  <c r="AD60" i="1"/>
  <c r="AD188" i="1"/>
  <c r="AD162" i="1"/>
  <c r="AD89" i="1"/>
  <c r="AD119" i="1"/>
  <c r="AD157" i="1"/>
  <c r="AD72" i="1"/>
  <c r="AD200" i="1"/>
  <c r="AD46" i="1"/>
  <c r="AD174" i="1"/>
  <c r="AD113" i="1"/>
  <c r="AD143" i="1"/>
  <c r="AD181" i="1"/>
  <c r="AD68" i="1"/>
  <c r="AD196" i="1"/>
  <c r="AD42" i="1"/>
  <c r="AD170" i="1"/>
  <c r="AD105" i="1"/>
  <c r="AD135" i="1"/>
  <c r="AD173" i="1"/>
  <c r="AD80" i="1"/>
  <c r="AD208" i="1"/>
  <c r="AD54" i="1"/>
  <c r="AD182" i="1"/>
  <c r="AD129" i="1"/>
  <c r="AD159" i="1"/>
  <c r="AD197" i="1"/>
  <c r="AD217" i="1"/>
  <c r="AD92" i="1"/>
  <c r="AD220" i="1"/>
  <c r="AD66" i="1"/>
  <c r="AD194" i="1"/>
  <c r="AD153" i="1"/>
  <c r="AD183" i="1"/>
  <c r="AD213" i="1"/>
  <c r="AD223" i="1"/>
  <c r="AD104" i="1"/>
  <c r="AD232" i="1"/>
  <c r="AD78" i="1"/>
  <c r="AD59" i="1"/>
  <c r="AD177" i="1"/>
  <c r="AD203" i="1"/>
  <c r="AD222" i="1"/>
  <c r="AD84" i="1"/>
  <c r="AD212" i="1"/>
  <c r="AD73" i="1"/>
  <c r="AD133" i="1"/>
  <c r="AD192" i="1"/>
  <c r="AD50" i="1"/>
  <c r="AD151" i="1"/>
  <c r="AD190" i="1"/>
  <c r="AD137" i="1"/>
  <c r="AD202" i="1"/>
  <c r="AD224" i="1"/>
  <c r="AD82" i="1"/>
  <c r="AD209" i="1"/>
  <c r="AD91" i="1"/>
  <c r="AD52" i="1"/>
  <c r="AD227" i="1"/>
  <c r="AD38" i="1"/>
  <c r="AD127" i="1"/>
  <c r="AD178" i="1"/>
  <c r="AD88" i="1"/>
  <c r="AD145" i="1"/>
  <c r="AD207" i="1"/>
  <c r="AD180" i="1"/>
  <c r="AD70" i="1"/>
  <c r="AD191" i="1"/>
  <c r="AD67" i="1"/>
  <c r="AD120" i="1"/>
  <c r="AD205" i="1"/>
  <c r="AD103" i="1"/>
  <c r="AD166" i="1"/>
  <c r="AD76" i="1"/>
  <c r="AD121" i="1"/>
  <c r="AD189" i="1"/>
  <c r="AD216" i="1"/>
  <c r="AD187" i="1"/>
  <c r="AD154" i="1"/>
  <c r="AD64" i="1"/>
  <c r="AD97" i="1"/>
  <c r="AD165" i="1"/>
  <c r="AD204" i="1"/>
  <c r="AD62" i="1"/>
  <c r="AD175" i="1"/>
  <c r="AD186" i="1"/>
  <c r="AD96" i="1"/>
  <c r="AD161" i="1"/>
  <c r="AD179" i="1"/>
  <c r="AD94" i="1"/>
  <c r="AD225" i="1"/>
  <c r="AD234" i="1"/>
  <c r="AD43" i="1"/>
  <c r="AD108" i="1"/>
  <c r="AD185" i="1"/>
  <c r="AD233" i="1"/>
  <c r="AD58" i="1"/>
  <c r="AD167" i="1"/>
  <c r="AB109" i="1"/>
  <c r="AB140" i="1"/>
  <c r="AB58" i="1"/>
  <c r="AB67" i="1"/>
  <c r="AB159" i="1"/>
  <c r="AB86" i="1"/>
  <c r="AB121" i="1"/>
  <c r="AB152" i="1"/>
  <c r="AB82" i="1"/>
  <c r="AB107" i="1"/>
  <c r="AB183" i="1"/>
  <c r="AB134" i="1"/>
  <c r="AB117" i="1"/>
  <c r="AB148" i="1"/>
  <c r="AB74" i="1"/>
  <c r="AB91" i="1"/>
  <c r="AB175" i="1"/>
  <c r="AB118" i="1"/>
  <c r="AB129" i="1"/>
  <c r="AB35" i="1"/>
  <c r="AB160" i="1"/>
  <c r="AB98" i="1"/>
  <c r="AB139" i="1"/>
  <c r="AB199" i="1"/>
  <c r="AB166" i="1"/>
  <c r="AB211" i="1"/>
  <c r="AB125" i="1"/>
  <c r="AB156" i="1"/>
  <c r="AB90" i="1"/>
  <c r="AB123" i="1"/>
  <c r="AB191" i="1"/>
  <c r="AB150" i="1"/>
  <c r="AB171" i="1"/>
  <c r="AB137" i="1"/>
  <c r="AB40" i="1"/>
  <c r="AB168" i="1"/>
  <c r="AB114" i="1"/>
  <c r="AB187" i="1"/>
  <c r="AB215" i="1"/>
  <c r="AB198" i="1"/>
  <c r="AB133" i="1"/>
  <c r="AB36" i="1"/>
  <c r="AB164" i="1"/>
  <c r="AB106" i="1"/>
  <c r="AB155" i="1"/>
  <c r="AB207" i="1"/>
  <c r="AB182" i="1"/>
  <c r="AB145" i="1"/>
  <c r="AB48" i="1"/>
  <c r="AB176" i="1"/>
  <c r="AB130" i="1"/>
  <c r="AB46" i="1"/>
  <c r="AB219" i="1"/>
  <c r="AB231" i="1"/>
  <c r="AB230" i="1"/>
  <c r="AB141" i="1"/>
  <c r="AB44" i="1"/>
  <c r="AB172" i="1"/>
  <c r="AB122" i="1"/>
  <c r="AB203" i="1"/>
  <c r="AB223" i="1"/>
  <c r="AB214" i="1"/>
  <c r="AB153" i="1"/>
  <c r="AB56" i="1"/>
  <c r="AB184" i="1"/>
  <c r="AB146" i="1"/>
  <c r="AB78" i="1"/>
  <c r="AB149" i="1"/>
  <c r="AB52" i="1"/>
  <c r="AB180" i="1"/>
  <c r="AB138" i="1"/>
  <c r="AB62" i="1"/>
  <c r="AB161" i="1"/>
  <c r="AB64" i="1"/>
  <c r="AB192" i="1"/>
  <c r="AB162" i="1"/>
  <c r="AB110" i="1"/>
  <c r="AB157" i="1"/>
  <c r="AB60" i="1"/>
  <c r="AB188" i="1"/>
  <c r="AB154" i="1"/>
  <c r="AB94" i="1"/>
  <c r="AB41" i="1"/>
  <c r="AB169" i="1"/>
  <c r="AB72" i="1"/>
  <c r="AB200" i="1"/>
  <c r="AB178" i="1"/>
  <c r="AB142" i="1"/>
  <c r="AB37" i="1"/>
  <c r="AB165" i="1"/>
  <c r="AB68" i="1"/>
  <c r="AB196" i="1"/>
  <c r="AB170" i="1"/>
  <c r="AB126" i="1"/>
  <c r="AB49" i="1"/>
  <c r="AB177" i="1"/>
  <c r="AB80" i="1"/>
  <c r="AB208" i="1"/>
  <c r="AB194" i="1"/>
  <c r="AB174" i="1"/>
  <c r="AB39" i="1"/>
  <c r="AB45" i="1"/>
  <c r="AB173" i="1"/>
  <c r="AB76" i="1"/>
  <c r="AB204" i="1"/>
  <c r="AB186" i="1"/>
  <c r="AB158" i="1"/>
  <c r="AB57" i="1"/>
  <c r="AB185" i="1"/>
  <c r="AB88" i="1"/>
  <c r="AB216" i="1"/>
  <c r="AB210" i="1"/>
  <c r="AB206" i="1"/>
  <c r="AB55" i="1"/>
  <c r="AB43" i="1"/>
  <c r="AB53" i="1"/>
  <c r="AB181" i="1"/>
  <c r="AB84" i="1"/>
  <c r="AB212" i="1"/>
  <c r="AB202" i="1"/>
  <c r="AB190" i="1"/>
  <c r="AB47" i="1"/>
  <c r="AB65" i="1"/>
  <c r="AB193" i="1"/>
  <c r="AB96" i="1"/>
  <c r="AB224" i="1"/>
  <c r="AB226" i="1"/>
  <c r="AB71" i="1"/>
  <c r="AB83" i="1"/>
  <c r="AB77" i="1"/>
  <c r="AB205" i="1"/>
  <c r="AB108" i="1"/>
  <c r="AB95" i="1"/>
  <c r="AB131" i="1"/>
  <c r="AB89" i="1"/>
  <c r="AB217" i="1"/>
  <c r="AB120" i="1"/>
  <c r="AB119" i="1"/>
  <c r="AB179" i="1"/>
  <c r="AB85" i="1"/>
  <c r="AB213" i="1"/>
  <c r="AB116" i="1"/>
  <c r="AB111" i="1"/>
  <c r="AB163" i="1"/>
  <c r="AB97" i="1"/>
  <c r="AB225" i="1"/>
  <c r="AB128" i="1"/>
  <c r="AB135" i="1"/>
  <c r="AB38" i="1"/>
  <c r="AB227" i="1"/>
  <c r="AB93" i="1"/>
  <c r="AB221" i="1"/>
  <c r="AB124" i="1"/>
  <c r="AB127" i="1"/>
  <c r="AB195" i="1"/>
  <c r="AB105" i="1"/>
  <c r="AB233" i="1"/>
  <c r="AB136" i="1"/>
  <c r="AB50" i="1"/>
  <c r="AB51" i="1"/>
  <c r="AB151" i="1"/>
  <c r="AB70" i="1"/>
  <c r="AB101" i="1"/>
  <c r="AB229" i="1"/>
  <c r="AB132" i="1"/>
  <c r="AB42" i="1"/>
  <c r="AB143" i="1"/>
  <c r="AB54" i="1"/>
  <c r="AB113" i="1"/>
  <c r="AB144" i="1"/>
  <c r="AB66" i="1"/>
  <c r="AB75" i="1"/>
  <c r="AB167" i="1"/>
  <c r="AB102" i="1"/>
  <c r="AB92" i="1"/>
  <c r="AB73" i="1"/>
  <c r="AB87" i="1"/>
  <c r="AB147" i="1"/>
  <c r="AB220" i="1"/>
  <c r="AB201" i="1"/>
  <c r="AB234" i="1"/>
  <c r="AB112" i="1"/>
  <c r="AB115" i="1"/>
  <c r="AB218" i="1"/>
  <c r="AB104" i="1"/>
  <c r="AB69" i="1"/>
  <c r="AB79" i="1"/>
  <c r="AB222" i="1"/>
  <c r="AB232" i="1"/>
  <c r="AB197" i="1"/>
  <c r="AB61" i="1"/>
  <c r="AB63" i="1"/>
  <c r="AB99" i="1"/>
  <c r="AB189" i="1"/>
  <c r="AB100" i="1"/>
  <c r="AB81" i="1"/>
  <c r="AB103" i="1"/>
  <c r="AB228" i="1"/>
  <c r="AB209" i="1"/>
  <c r="AB59" i="1"/>
  <c r="AG132" i="1"/>
  <c r="AG48" i="1"/>
  <c r="AG176" i="1"/>
  <c r="AG90" i="1"/>
  <c r="AG218" i="1"/>
  <c r="AG35" i="1"/>
  <c r="AG124" i="1"/>
  <c r="AG38" i="1"/>
  <c r="AG152" i="1"/>
  <c r="AG66" i="1"/>
  <c r="AG194" i="1"/>
  <c r="AG187" i="1"/>
  <c r="AG217" i="1"/>
  <c r="AG198" i="1"/>
  <c r="AG148" i="1"/>
  <c r="AG64" i="1"/>
  <c r="AG192" i="1"/>
  <c r="AG106" i="1"/>
  <c r="AG234" i="1"/>
  <c r="AG41" i="1"/>
  <c r="AG63" i="1"/>
  <c r="AG140" i="1"/>
  <c r="AG40" i="1"/>
  <c r="AG168" i="1"/>
  <c r="AG82" i="1"/>
  <c r="AG210" i="1"/>
  <c r="AG219" i="1"/>
  <c r="AG230" i="1"/>
  <c r="AG36" i="1"/>
  <c r="AG164" i="1"/>
  <c r="AG80" i="1"/>
  <c r="AG208" i="1"/>
  <c r="AG122" i="1"/>
  <c r="AG43" i="1"/>
  <c r="AG73" i="1"/>
  <c r="AG95" i="1"/>
  <c r="AG156" i="1"/>
  <c r="AG56" i="1"/>
  <c r="AG184" i="1"/>
  <c r="AG98" i="1"/>
  <c r="AG226" i="1"/>
  <c r="AG47" i="1"/>
  <c r="AG67" i="1"/>
  <c r="AG52" i="1"/>
  <c r="AG180" i="1"/>
  <c r="AG96" i="1"/>
  <c r="AG224" i="1"/>
  <c r="AG138" i="1"/>
  <c r="AG75" i="1"/>
  <c r="AG105" i="1"/>
  <c r="AG44" i="1"/>
  <c r="AG172" i="1"/>
  <c r="AG72" i="1"/>
  <c r="AG200" i="1"/>
  <c r="AG114" i="1"/>
  <c r="AG57" i="1"/>
  <c r="AG79" i="1"/>
  <c r="AG131" i="1"/>
  <c r="AG68" i="1"/>
  <c r="AG196" i="1"/>
  <c r="AG112" i="1"/>
  <c r="AG154" i="1"/>
  <c r="AG107" i="1"/>
  <c r="AG137" i="1"/>
  <c r="AG60" i="1"/>
  <c r="AG188" i="1"/>
  <c r="AG88" i="1"/>
  <c r="AG216" i="1"/>
  <c r="AG130" i="1"/>
  <c r="AG59" i="1"/>
  <c r="AG89" i="1"/>
  <c r="AG70" i="1"/>
  <c r="AG195" i="1"/>
  <c r="AG100" i="1"/>
  <c r="AG228" i="1"/>
  <c r="AG144" i="1"/>
  <c r="AG58" i="1"/>
  <c r="AG186" i="1"/>
  <c r="AG171" i="1"/>
  <c r="AG201" i="1"/>
  <c r="AG92" i="1"/>
  <c r="AG220" i="1"/>
  <c r="AG120" i="1"/>
  <c r="AG162" i="1"/>
  <c r="AG123" i="1"/>
  <c r="AG84" i="1"/>
  <c r="AG170" i="1"/>
  <c r="AG232" i="1"/>
  <c r="AG121" i="1"/>
  <c r="AG166" i="1"/>
  <c r="AG225" i="1"/>
  <c r="AG175" i="1"/>
  <c r="AG213" i="1"/>
  <c r="AG222" i="1"/>
  <c r="AG39" i="1"/>
  <c r="AG118" i="1"/>
  <c r="AG223" i="1"/>
  <c r="AG83" i="1"/>
  <c r="AG113" i="1"/>
  <c r="AG119" i="1"/>
  <c r="AG37" i="1"/>
  <c r="AG116" i="1"/>
  <c r="AG202" i="1"/>
  <c r="AG50" i="1"/>
  <c r="AG153" i="1"/>
  <c r="AG207" i="1"/>
  <c r="AG51" i="1"/>
  <c r="AG81" i="1"/>
  <c r="AG103" i="1"/>
  <c r="AG150" i="1"/>
  <c r="AG45" i="1"/>
  <c r="AG46" i="1"/>
  <c r="AG147" i="1"/>
  <c r="AG177" i="1"/>
  <c r="AG151" i="1"/>
  <c r="AG117" i="1"/>
  <c r="AG165" i="1"/>
  <c r="AG212" i="1"/>
  <c r="AG139" i="1"/>
  <c r="AG76" i="1"/>
  <c r="AG146" i="1"/>
  <c r="AG185" i="1"/>
  <c r="AG115" i="1"/>
  <c r="AG145" i="1"/>
  <c r="AG135" i="1"/>
  <c r="AG53" i="1"/>
  <c r="AG101" i="1"/>
  <c r="AG182" i="1"/>
  <c r="AG125" i="1"/>
  <c r="AG173" i="1"/>
  <c r="AG78" i="1"/>
  <c r="AG211" i="1"/>
  <c r="AG183" i="1"/>
  <c r="AG203" i="1"/>
  <c r="AG108" i="1"/>
  <c r="AG178" i="1"/>
  <c r="AG61" i="1"/>
  <c r="AG109" i="1"/>
  <c r="AG62" i="1"/>
  <c r="AG179" i="1"/>
  <c r="AG209" i="1"/>
  <c r="AG167" i="1"/>
  <c r="AG181" i="1"/>
  <c r="AG229" i="1"/>
  <c r="AG214" i="1"/>
  <c r="AG110" i="1"/>
  <c r="AG215" i="1"/>
  <c r="AG128" i="1"/>
  <c r="AG204" i="1"/>
  <c r="AG91" i="1"/>
  <c r="AG189" i="1"/>
  <c r="AG94" i="1"/>
  <c r="AG199" i="1"/>
  <c r="AG65" i="1"/>
  <c r="AG87" i="1"/>
  <c r="AG142" i="1"/>
  <c r="AG42" i="1"/>
  <c r="AG169" i="1"/>
  <c r="AG104" i="1"/>
  <c r="AG102" i="1"/>
  <c r="AG97" i="1"/>
  <c r="AG111" i="1"/>
  <c r="AG158" i="1"/>
  <c r="AG77" i="1"/>
  <c r="AG54" i="1"/>
  <c r="AG163" i="1"/>
  <c r="AG193" i="1"/>
  <c r="AG159" i="1"/>
  <c r="AG149" i="1"/>
  <c r="AG197" i="1"/>
  <c r="AG206" i="1"/>
  <c r="AG221" i="1"/>
  <c r="AG74" i="1"/>
  <c r="AG233" i="1"/>
  <c r="AG136" i="1"/>
  <c r="AG134" i="1"/>
  <c r="AG161" i="1"/>
  <c r="AG143" i="1"/>
  <c r="AG85" i="1"/>
  <c r="AG133" i="1"/>
  <c r="AG190" i="1"/>
  <c r="AG157" i="1"/>
  <c r="AG205" i="1"/>
  <c r="AG86" i="1"/>
  <c r="AG227" i="1"/>
  <c r="AG191" i="1"/>
  <c r="AG49" i="1"/>
  <c r="AG71" i="1"/>
  <c r="AG160" i="1"/>
  <c r="AG99" i="1"/>
  <c r="AG126" i="1"/>
  <c r="AG129" i="1"/>
  <c r="AG155" i="1"/>
  <c r="AG127" i="1"/>
  <c r="AG93" i="1"/>
  <c r="AG141" i="1"/>
  <c r="AG231" i="1"/>
  <c r="AG55" i="1"/>
  <c r="AG69" i="1"/>
  <c r="AG174" i="1"/>
  <c r="AF152" i="1"/>
  <c r="AF59" i="1"/>
  <c r="AF187" i="1"/>
  <c r="AF94" i="1"/>
  <c r="AF222" i="1"/>
  <c r="AF57" i="1"/>
  <c r="AF36" i="1"/>
  <c r="AF164" i="1"/>
  <c r="AF71" i="1"/>
  <c r="AF199" i="1"/>
  <c r="AF106" i="1"/>
  <c r="AF234" i="1"/>
  <c r="AF105" i="1"/>
  <c r="AF160" i="1"/>
  <c r="AF67" i="1"/>
  <c r="AF195" i="1"/>
  <c r="AF102" i="1"/>
  <c r="AF230" i="1"/>
  <c r="AF89" i="1"/>
  <c r="AF60" i="1"/>
  <c r="AF188" i="1"/>
  <c r="AF95" i="1"/>
  <c r="AF223" i="1"/>
  <c r="AF130" i="1"/>
  <c r="AF45" i="1"/>
  <c r="AF201" i="1"/>
  <c r="AF40" i="1"/>
  <c r="AF168" i="1"/>
  <c r="AF75" i="1"/>
  <c r="AF203" i="1"/>
  <c r="AF110" i="1"/>
  <c r="AF121" i="1"/>
  <c r="AF52" i="1"/>
  <c r="AF180" i="1"/>
  <c r="AF87" i="1"/>
  <c r="AF215" i="1"/>
  <c r="AF122" i="1"/>
  <c r="AF169" i="1"/>
  <c r="AF48" i="1"/>
  <c r="AF176" i="1"/>
  <c r="AF83" i="1"/>
  <c r="AF211" i="1"/>
  <c r="AF118" i="1"/>
  <c r="AF153" i="1"/>
  <c r="AF76" i="1"/>
  <c r="AF204" i="1"/>
  <c r="AF111" i="1"/>
  <c r="AF146" i="1"/>
  <c r="AF109" i="1"/>
  <c r="AF81" i="1"/>
  <c r="AF56" i="1"/>
  <c r="AF184" i="1"/>
  <c r="AF91" i="1"/>
  <c r="AF219" i="1"/>
  <c r="AF126" i="1"/>
  <c r="AF185" i="1"/>
  <c r="AF65" i="1"/>
  <c r="AF68" i="1"/>
  <c r="AF196" i="1"/>
  <c r="AF103" i="1"/>
  <c r="AF231" i="1"/>
  <c r="AF138" i="1"/>
  <c r="AF77" i="1"/>
  <c r="AF233" i="1"/>
  <c r="AF49" i="1"/>
  <c r="AF64" i="1"/>
  <c r="AF192" i="1"/>
  <c r="AF99" i="1"/>
  <c r="AF227" i="1"/>
  <c r="AF134" i="1"/>
  <c r="AF61" i="1"/>
  <c r="AF217" i="1"/>
  <c r="AF97" i="1"/>
  <c r="AF92" i="1"/>
  <c r="AF220" i="1"/>
  <c r="AF127" i="1"/>
  <c r="AF162" i="1"/>
  <c r="AF173" i="1"/>
  <c r="AF145" i="1"/>
  <c r="AF72" i="1"/>
  <c r="AF200" i="1"/>
  <c r="AF107" i="1"/>
  <c r="AF142" i="1"/>
  <c r="AF93" i="1"/>
  <c r="AF129" i="1"/>
  <c r="AF84" i="1"/>
  <c r="AF212" i="1"/>
  <c r="AF119" i="1"/>
  <c r="AF154" i="1"/>
  <c r="AF141" i="1"/>
  <c r="AF113" i="1"/>
  <c r="AF80" i="1"/>
  <c r="AF208" i="1"/>
  <c r="AF115" i="1"/>
  <c r="AF150" i="1"/>
  <c r="AF125" i="1"/>
  <c r="AF161" i="1"/>
  <c r="AF108" i="1"/>
  <c r="AF143" i="1"/>
  <c r="AF50" i="1"/>
  <c r="AF178" i="1"/>
  <c r="AF37" i="1"/>
  <c r="AF209" i="1"/>
  <c r="AF88" i="1"/>
  <c r="AF216" i="1"/>
  <c r="AF123" i="1"/>
  <c r="AF158" i="1"/>
  <c r="AF157" i="1"/>
  <c r="AF193" i="1"/>
  <c r="AF100" i="1"/>
  <c r="AF228" i="1"/>
  <c r="AF135" i="1"/>
  <c r="AF42" i="1"/>
  <c r="AF170" i="1"/>
  <c r="AF205" i="1"/>
  <c r="AF177" i="1"/>
  <c r="AF96" i="1"/>
  <c r="AF224" i="1"/>
  <c r="AF131" i="1"/>
  <c r="AF38" i="1"/>
  <c r="AF166" i="1"/>
  <c r="AF189" i="1"/>
  <c r="AF225" i="1"/>
  <c r="AF124" i="1"/>
  <c r="AF159" i="1"/>
  <c r="AF66" i="1"/>
  <c r="AF194" i="1"/>
  <c r="AF101" i="1"/>
  <c r="AF104" i="1"/>
  <c r="AF232" i="1"/>
  <c r="AF139" i="1"/>
  <c r="AF46" i="1"/>
  <c r="AF174" i="1"/>
  <c r="AF221" i="1"/>
  <c r="AF116" i="1"/>
  <c r="AF151" i="1"/>
  <c r="AF58" i="1"/>
  <c r="AF186" i="1"/>
  <c r="AF69" i="1"/>
  <c r="AF112" i="1"/>
  <c r="AF147" i="1"/>
  <c r="AF54" i="1"/>
  <c r="AF182" i="1"/>
  <c r="AF53" i="1"/>
  <c r="AF140" i="1"/>
  <c r="AF47" i="1"/>
  <c r="AF175" i="1"/>
  <c r="AF82" i="1"/>
  <c r="AF210" i="1"/>
  <c r="AF165" i="1"/>
  <c r="AF120" i="1"/>
  <c r="AF155" i="1"/>
  <c r="AF62" i="1"/>
  <c r="AF190" i="1"/>
  <c r="AF85" i="1"/>
  <c r="AF132" i="1"/>
  <c r="AF39" i="1"/>
  <c r="AF167" i="1"/>
  <c r="AF74" i="1"/>
  <c r="AF202" i="1"/>
  <c r="AF133" i="1"/>
  <c r="AF128" i="1"/>
  <c r="AF163" i="1"/>
  <c r="AF70" i="1"/>
  <c r="AF198" i="1"/>
  <c r="AF117" i="1"/>
  <c r="AF156" i="1"/>
  <c r="AF63" i="1"/>
  <c r="AF191" i="1"/>
  <c r="AF98" i="1"/>
  <c r="AF226" i="1"/>
  <c r="AF73" i="1"/>
  <c r="AF229" i="1"/>
  <c r="AF213" i="1"/>
  <c r="AF136" i="1"/>
  <c r="AF43" i="1"/>
  <c r="AF171" i="1"/>
  <c r="AF78" i="1"/>
  <c r="AF206" i="1"/>
  <c r="AF149" i="1"/>
  <c r="AF35" i="1"/>
  <c r="AF148" i="1"/>
  <c r="AF55" i="1"/>
  <c r="AF183" i="1"/>
  <c r="AF90" i="1"/>
  <c r="AF218" i="1"/>
  <c r="AF41" i="1"/>
  <c r="AF197" i="1"/>
  <c r="AF144" i="1"/>
  <c r="AF51" i="1"/>
  <c r="AF179" i="1"/>
  <c r="AF86" i="1"/>
  <c r="AF214" i="1"/>
  <c r="AF181" i="1"/>
  <c r="AF44" i="1"/>
  <c r="AF172" i="1"/>
  <c r="AF79" i="1"/>
  <c r="AF207" i="1"/>
  <c r="AF114" i="1"/>
  <c r="AF137" i="1"/>
  <c r="AC143" i="1"/>
  <c r="AC50" i="1"/>
  <c r="AC178" i="1"/>
  <c r="AC136" i="1"/>
  <c r="AC44" i="1"/>
  <c r="AC201" i="1"/>
  <c r="AC197" i="1"/>
  <c r="AC164" i="1"/>
  <c r="AC155" i="1"/>
  <c r="AC62" i="1"/>
  <c r="AC190" i="1"/>
  <c r="AC160" i="1"/>
  <c r="AC92" i="1"/>
  <c r="AC221" i="1"/>
  <c r="AC212" i="1"/>
  <c r="AC35" i="1"/>
  <c r="AC151" i="1"/>
  <c r="AC58" i="1"/>
  <c r="AC186" i="1"/>
  <c r="AC152" i="1"/>
  <c r="AC76" i="1"/>
  <c r="AC233" i="1"/>
  <c r="AC213" i="1"/>
  <c r="AC196" i="1"/>
  <c r="AC163" i="1"/>
  <c r="AC70" i="1"/>
  <c r="AC198" i="1"/>
  <c r="AC176" i="1"/>
  <c r="AC124" i="1"/>
  <c r="AC159" i="1"/>
  <c r="AC66" i="1"/>
  <c r="AC194" i="1"/>
  <c r="AC168" i="1"/>
  <c r="AC108" i="1"/>
  <c r="AC229" i="1"/>
  <c r="AC228" i="1"/>
  <c r="AC43" i="1"/>
  <c r="AC171" i="1"/>
  <c r="AC78" i="1"/>
  <c r="AC206" i="1"/>
  <c r="AC192" i="1"/>
  <c r="AC156" i="1"/>
  <c r="AC39" i="1"/>
  <c r="AC167" i="1"/>
  <c r="AC74" i="1"/>
  <c r="AC202" i="1"/>
  <c r="AC184" i="1"/>
  <c r="AC140" i="1"/>
  <c r="AC51" i="1"/>
  <c r="AC179" i="1"/>
  <c r="AC86" i="1"/>
  <c r="AC214" i="1"/>
  <c r="AC208" i="1"/>
  <c r="AC188" i="1"/>
  <c r="AC47" i="1"/>
  <c r="AC175" i="1"/>
  <c r="AC82" i="1"/>
  <c r="AC210" i="1"/>
  <c r="AC200" i="1"/>
  <c r="AC172" i="1"/>
  <c r="AC59" i="1"/>
  <c r="AC187" i="1"/>
  <c r="AC94" i="1"/>
  <c r="AC222" i="1"/>
  <c r="AC224" i="1"/>
  <c r="AC220" i="1"/>
  <c r="AC55" i="1"/>
  <c r="AC183" i="1"/>
  <c r="AC90" i="1"/>
  <c r="AC218" i="1"/>
  <c r="AC216" i="1"/>
  <c r="AC204" i="1"/>
  <c r="AC67" i="1"/>
  <c r="AC195" i="1"/>
  <c r="AC102" i="1"/>
  <c r="AC230" i="1"/>
  <c r="AC45" i="1"/>
  <c r="AC63" i="1"/>
  <c r="AC191" i="1"/>
  <c r="AC98" i="1"/>
  <c r="AC226" i="1"/>
  <c r="AC232" i="1"/>
  <c r="AC37" i="1"/>
  <c r="AC75" i="1"/>
  <c r="AC203" i="1"/>
  <c r="AC110" i="1"/>
  <c r="AC61" i="1"/>
  <c r="AC65" i="1"/>
  <c r="AC71" i="1"/>
  <c r="AC199" i="1"/>
  <c r="AC106" i="1"/>
  <c r="AC234" i="1"/>
  <c r="AC53" i="1"/>
  <c r="AC49" i="1"/>
  <c r="AC83" i="1"/>
  <c r="AC211" i="1"/>
  <c r="AC118" i="1"/>
  <c r="AC77" i="1"/>
  <c r="AC97" i="1"/>
  <c r="AC79" i="1"/>
  <c r="AC207" i="1"/>
  <c r="AC114" i="1"/>
  <c r="AC69" i="1"/>
  <c r="AC81" i="1"/>
  <c r="AC91" i="1"/>
  <c r="AC219" i="1"/>
  <c r="AC126" i="1"/>
  <c r="AC93" i="1"/>
  <c r="AC129" i="1"/>
  <c r="AC87" i="1"/>
  <c r="AC215" i="1"/>
  <c r="AC122" i="1"/>
  <c r="AC85" i="1"/>
  <c r="AC113" i="1"/>
  <c r="AC99" i="1"/>
  <c r="AC227" i="1"/>
  <c r="AC134" i="1"/>
  <c r="AC48" i="1"/>
  <c r="AC109" i="1"/>
  <c r="AC161" i="1"/>
  <c r="AC111" i="1"/>
  <c r="AC146" i="1"/>
  <c r="AC72" i="1"/>
  <c r="AC73" i="1"/>
  <c r="AC133" i="1"/>
  <c r="AC36" i="1"/>
  <c r="AC209" i="1"/>
  <c r="AC123" i="1"/>
  <c r="AC158" i="1"/>
  <c r="AC96" i="1"/>
  <c r="AC121" i="1"/>
  <c r="AC157" i="1"/>
  <c r="AC84" i="1"/>
  <c r="AC119" i="1"/>
  <c r="AC154" i="1"/>
  <c r="AC88" i="1"/>
  <c r="AC105" i="1"/>
  <c r="AC149" i="1"/>
  <c r="AC68" i="1"/>
  <c r="AC131" i="1"/>
  <c r="AC38" i="1"/>
  <c r="AC166" i="1"/>
  <c r="AC112" i="1"/>
  <c r="AC153" i="1"/>
  <c r="AC173" i="1"/>
  <c r="AC116" i="1"/>
  <c r="AC127" i="1"/>
  <c r="AC162" i="1"/>
  <c r="AC104" i="1"/>
  <c r="AC137" i="1"/>
  <c r="AC165" i="1"/>
  <c r="AC100" i="1"/>
  <c r="AC139" i="1"/>
  <c r="AC46" i="1"/>
  <c r="AC174" i="1"/>
  <c r="AC128" i="1"/>
  <c r="AC185" i="1"/>
  <c r="AC189" i="1"/>
  <c r="AC148" i="1"/>
  <c r="AC135" i="1"/>
  <c r="AC42" i="1"/>
  <c r="AC170" i="1"/>
  <c r="AC120" i="1"/>
  <c r="AC169" i="1"/>
  <c r="AC181" i="1"/>
  <c r="AC132" i="1"/>
  <c r="AC147" i="1"/>
  <c r="AC54" i="1"/>
  <c r="AC182" i="1"/>
  <c r="AC144" i="1"/>
  <c r="AC60" i="1"/>
  <c r="AC217" i="1"/>
  <c r="AC205" i="1"/>
  <c r="AC180" i="1"/>
  <c r="AC231" i="1"/>
  <c r="AC95" i="1"/>
  <c r="AC101" i="1"/>
  <c r="AC64" i="1"/>
  <c r="AC177" i="1"/>
  <c r="AC89" i="1"/>
  <c r="AC223" i="1"/>
  <c r="AC138" i="1"/>
  <c r="AC115" i="1"/>
  <c r="AC141" i="1"/>
  <c r="AC145" i="1"/>
  <c r="AC57" i="1"/>
  <c r="AC52" i="1"/>
  <c r="AC130" i="1"/>
  <c r="AC107" i="1"/>
  <c r="AC125" i="1"/>
  <c r="AC56" i="1"/>
  <c r="AC225" i="1"/>
  <c r="AC150" i="1"/>
  <c r="AC40" i="1"/>
  <c r="AC193" i="1"/>
  <c r="AC41" i="1"/>
  <c r="AC80" i="1"/>
  <c r="AC142" i="1"/>
  <c r="AC103" i="1"/>
  <c r="AC117" i="1"/>
  <c r="AA90" i="1"/>
  <c r="AA83" i="1"/>
  <c r="AA86" i="1"/>
  <c r="AA214" i="1"/>
  <c r="AA121" i="1"/>
  <c r="AA136" i="1"/>
  <c r="AA95" i="1"/>
  <c r="AA210" i="1"/>
  <c r="AA53" i="1"/>
  <c r="AA131" i="1"/>
  <c r="AA224" i="1"/>
  <c r="AA212" i="1"/>
  <c r="AA162" i="1"/>
  <c r="AA181" i="1"/>
  <c r="AA103" i="1"/>
  <c r="AA106" i="1"/>
  <c r="AA77" i="1"/>
  <c r="AA211" i="1"/>
  <c r="AA102" i="1"/>
  <c r="AA230" i="1"/>
  <c r="AA137" i="1"/>
  <c r="AA43" i="1"/>
  <c r="AA168" i="1"/>
  <c r="AA159" i="1"/>
  <c r="AA215" i="1"/>
  <c r="AA85" i="1"/>
  <c r="AA163" i="1"/>
  <c r="AA194" i="1"/>
  <c r="AA229" i="1"/>
  <c r="AA124" i="1"/>
  <c r="AA138" i="1"/>
  <c r="AA125" i="1"/>
  <c r="AA111" i="1"/>
  <c r="AA118" i="1"/>
  <c r="AA153" i="1"/>
  <c r="AA75" i="1"/>
  <c r="AA116" i="1"/>
  <c r="AA200" i="1"/>
  <c r="AA231" i="1"/>
  <c r="AA170" i="1"/>
  <c r="AA173" i="1"/>
  <c r="AA71" i="1"/>
  <c r="AA134" i="1"/>
  <c r="AA41" i="1"/>
  <c r="AA169" i="1"/>
  <c r="AA107" i="1"/>
  <c r="AA204" i="1"/>
  <c r="AA232" i="1"/>
  <c r="AA117" i="1"/>
  <c r="AA202" i="1"/>
  <c r="AA221" i="1"/>
  <c r="AA172" i="1"/>
  <c r="AA150" i="1"/>
  <c r="AA57" i="1"/>
  <c r="AA185" i="1"/>
  <c r="AA139" i="1"/>
  <c r="AA55" i="1"/>
  <c r="AA66" i="1"/>
  <c r="AA149" i="1"/>
  <c r="AA79" i="1"/>
  <c r="AA50" i="1"/>
  <c r="AA192" i="1"/>
  <c r="AA234" i="1"/>
  <c r="AA140" i="1"/>
  <c r="AA68" i="1"/>
  <c r="AA166" i="1"/>
  <c r="AA73" i="1"/>
  <c r="AA201" i="1"/>
  <c r="AA171" i="1"/>
  <c r="AA119" i="1"/>
  <c r="AA60" i="1"/>
  <c r="AA114" i="1"/>
  <c r="AA165" i="1"/>
  <c r="AA96" i="1"/>
  <c r="AA207" i="1"/>
  <c r="AA82" i="1"/>
  <c r="AA99" i="1"/>
  <c r="AA48" i="1"/>
  <c r="AA54" i="1"/>
  <c r="AA182" i="1"/>
  <c r="AA89" i="1"/>
  <c r="AA217" i="1"/>
  <c r="AA203" i="1"/>
  <c r="AA183" i="1"/>
  <c r="AA72" i="1"/>
  <c r="AA58" i="1"/>
  <c r="AA144" i="1"/>
  <c r="AA70" i="1"/>
  <c r="AA198" i="1"/>
  <c r="AA105" i="1"/>
  <c r="AA233" i="1"/>
  <c r="AA178" i="1"/>
  <c r="AA40" i="1"/>
  <c r="AA133" i="1"/>
  <c r="AA110" i="1"/>
  <c r="AA145" i="1"/>
  <c r="AA59" i="1"/>
  <c r="AA76" i="1"/>
  <c r="AA184" i="1"/>
  <c r="AA127" i="1"/>
  <c r="AA218" i="1"/>
  <c r="AA61" i="1"/>
  <c r="AA147" i="1"/>
  <c r="AA155" i="1"/>
  <c r="AA122" i="1"/>
  <c r="AA67" i="1"/>
  <c r="AA143" i="1"/>
  <c r="AA126" i="1"/>
  <c r="AA161" i="1"/>
  <c r="AA91" i="1"/>
  <c r="AA164" i="1"/>
  <c r="AA216" i="1"/>
  <c r="AA191" i="1"/>
  <c r="AA100" i="1"/>
  <c r="AA93" i="1"/>
  <c r="AA179" i="1"/>
  <c r="AA52" i="1"/>
  <c r="AA193" i="1"/>
  <c r="AA47" i="1"/>
  <c r="AA104" i="1"/>
  <c r="AA195" i="1"/>
  <c r="AA44" i="1"/>
  <c r="AA39" i="1"/>
  <c r="AA142" i="1"/>
  <c r="AA49" i="1"/>
  <c r="AA177" i="1"/>
  <c r="AA123" i="1"/>
  <c r="AA220" i="1"/>
  <c r="AA109" i="1"/>
  <c r="AA228" i="1"/>
  <c r="AA188" i="1"/>
  <c r="AA132" i="1"/>
  <c r="AA108" i="1"/>
  <c r="AA37" i="1"/>
  <c r="AA38" i="1"/>
  <c r="AA148" i="1"/>
  <c r="AA101" i="1"/>
  <c r="AA167" i="1"/>
  <c r="AA98" i="1"/>
  <c r="AA46" i="1"/>
  <c r="AA174" i="1"/>
  <c r="AA81" i="1"/>
  <c r="AA209" i="1"/>
  <c r="AA187" i="1"/>
  <c r="AA151" i="1"/>
  <c r="AA56" i="1"/>
  <c r="AA42" i="1"/>
  <c r="AA74" i="1"/>
  <c r="AA157" i="1"/>
  <c r="AA80" i="1"/>
  <c r="AA175" i="1"/>
  <c r="AA197" i="1"/>
  <c r="AA92" i="1"/>
  <c r="AA130" i="1"/>
  <c r="AA180" i="1"/>
  <c r="AA62" i="1"/>
  <c r="AA190" i="1"/>
  <c r="AA97" i="1"/>
  <c r="AA225" i="1"/>
  <c r="AA219" i="1"/>
  <c r="AA223" i="1"/>
  <c r="AA189" i="1"/>
  <c r="AA156" i="1"/>
  <c r="AA213" i="1"/>
  <c r="AA128" i="1"/>
  <c r="AA226" i="1"/>
  <c r="AA64" i="1"/>
  <c r="AA78" i="1"/>
  <c r="AA206" i="1"/>
  <c r="AA113" i="1"/>
  <c r="AA120" i="1"/>
  <c r="AA196" i="1"/>
  <c r="AA154" i="1"/>
  <c r="AA205" i="1"/>
  <c r="AA51" i="1"/>
  <c r="AA135" i="1"/>
  <c r="AA176" i="1"/>
  <c r="AA158" i="1"/>
  <c r="AA65" i="1"/>
  <c r="AA87" i="1"/>
  <c r="AA88" i="1"/>
  <c r="AA146" i="1"/>
  <c r="AA160" i="1"/>
  <c r="AA69" i="1"/>
  <c r="AA94" i="1"/>
  <c r="AA222" i="1"/>
  <c r="AA129" i="1"/>
  <c r="AA36" i="1"/>
  <c r="AA152" i="1"/>
  <c r="AA63" i="1"/>
  <c r="AA186" i="1"/>
  <c r="AA45" i="1"/>
  <c r="AA115" i="1"/>
  <c r="AA199" i="1"/>
  <c r="AA208" i="1"/>
  <c r="AA84" i="1"/>
  <c r="AA227" i="1"/>
  <c r="AA141" i="1"/>
  <c r="AA112" i="1"/>
  <c r="AA35" i="1"/>
  <c r="AH197" i="1"/>
  <c r="AH158" i="1"/>
  <c r="AH43" i="1"/>
  <c r="AH125" i="1"/>
  <c r="AH65" i="1"/>
  <c r="AH94" i="1"/>
  <c r="AH168" i="1"/>
  <c r="AH119" i="1"/>
  <c r="AH106" i="1"/>
  <c r="AH205" i="1"/>
  <c r="AH86" i="1"/>
  <c r="AH64" i="1"/>
  <c r="AH84" i="1"/>
  <c r="AH121" i="1"/>
  <c r="AH175" i="1"/>
  <c r="AH211" i="1"/>
  <c r="AH201" i="1"/>
  <c r="AH144" i="1"/>
  <c r="AH51" i="1"/>
  <c r="AH218" i="1"/>
  <c r="AH109" i="1"/>
  <c r="AH183" i="1"/>
  <c r="AH73" i="1"/>
  <c r="AH113" i="1"/>
  <c r="AH40" i="1"/>
  <c r="AH220" i="1"/>
  <c r="AH171" i="1"/>
  <c r="AH91" i="1"/>
  <c r="AH142" i="1"/>
  <c r="AH206" i="1"/>
  <c r="AH154" i="1"/>
  <c r="AH108" i="1"/>
  <c r="AH176" i="1"/>
  <c r="AH53" i="1"/>
  <c r="AH209" i="1"/>
  <c r="AH55" i="1"/>
  <c r="AH126" i="1"/>
  <c r="AH184" i="1"/>
  <c r="AH135" i="1"/>
  <c r="AH66" i="1"/>
  <c r="AH138" i="1"/>
  <c r="AH221" i="1"/>
  <c r="AH118" i="1"/>
  <c r="AH80" i="1"/>
  <c r="AH100" i="1"/>
  <c r="AH153" i="1"/>
  <c r="AH191" i="1"/>
  <c r="AH82" i="1"/>
  <c r="AH111" i="1"/>
  <c r="AH131" i="1"/>
  <c r="AH124" i="1"/>
  <c r="AH61" i="1"/>
  <c r="AH155" i="1"/>
  <c r="AH165" i="1"/>
  <c r="AH69" i="1"/>
  <c r="AH212" i="1"/>
  <c r="AH194" i="1"/>
  <c r="AH214" i="1"/>
  <c r="AH134" i="1"/>
  <c r="AH120" i="1"/>
  <c r="AH85" i="1"/>
  <c r="AH225" i="1"/>
  <c r="AH71" i="1"/>
  <c r="AH157" i="1"/>
  <c r="AH200" i="1"/>
  <c r="AH36" i="1"/>
  <c r="AH151" i="1"/>
  <c r="AH98" i="1"/>
  <c r="AH227" i="1"/>
  <c r="AH217" i="1"/>
  <c r="AH47" i="1"/>
  <c r="AH67" i="1"/>
  <c r="AH234" i="1"/>
  <c r="AH97" i="1"/>
  <c r="AH204" i="1"/>
  <c r="AH174" i="1"/>
  <c r="AH90" i="1"/>
  <c r="AH76" i="1"/>
  <c r="AH188" i="1"/>
  <c r="AH141" i="1"/>
  <c r="AH199" i="1"/>
  <c r="AH105" i="1"/>
  <c r="AH145" i="1"/>
  <c r="AH56" i="1"/>
  <c r="AH192" i="1"/>
  <c r="AH228" i="1"/>
  <c r="AH210" i="1"/>
  <c r="AH230" i="1"/>
  <c r="AH161" i="1"/>
  <c r="AH136" i="1"/>
  <c r="AH117" i="1"/>
  <c r="AH87" i="1"/>
  <c r="AH163" i="1"/>
  <c r="AH150" i="1"/>
  <c r="AH96" i="1"/>
  <c r="AH116" i="1"/>
  <c r="AH170" i="1"/>
  <c r="AH122" i="1"/>
  <c r="AH75" i="1"/>
  <c r="AH78" i="1"/>
  <c r="AH219" i="1"/>
  <c r="AH123" i="1"/>
  <c r="AH110" i="1"/>
  <c r="AH222" i="1"/>
  <c r="AH207" i="1"/>
  <c r="AH114" i="1"/>
  <c r="AH127" i="1"/>
  <c r="AH147" i="1"/>
  <c r="AH101" i="1"/>
  <c r="AH164" i="1"/>
  <c r="AH215" i="1"/>
  <c r="AH137" i="1"/>
  <c r="AH166" i="1"/>
  <c r="AH38" i="1"/>
  <c r="AH72" i="1"/>
  <c r="AH208" i="1"/>
  <c r="AH226" i="1"/>
  <c r="AH177" i="1"/>
  <c r="AH152" i="1"/>
  <c r="AH42" i="1"/>
  <c r="AH173" i="1"/>
  <c r="AH216" i="1"/>
  <c r="AH62" i="1"/>
  <c r="AH52" i="1"/>
  <c r="AH57" i="1"/>
  <c r="AH92" i="1"/>
  <c r="AH229" i="1"/>
  <c r="AH44" i="1"/>
  <c r="AH156" i="1"/>
  <c r="AH139" i="1"/>
  <c r="AH213" i="1"/>
  <c r="AH130" i="1"/>
  <c r="AH233" i="1"/>
  <c r="AH63" i="1"/>
  <c r="AH83" i="1"/>
  <c r="AH45" i="1"/>
  <c r="AH146" i="1"/>
  <c r="AH143" i="1"/>
  <c r="AH49" i="1"/>
  <c r="AH133" i="1"/>
  <c r="AH180" i="1"/>
  <c r="AH231" i="1"/>
  <c r="AH162" i="1"/>
  <c r="AH182" i="1"/>
  <c r="AH70" i="1"/>
  <c r="AH88" i="1"/>
  <c r="AH224" i="1"/>
  <c r="AH149" i="1"/>
  <c r="AH103" i="1"/>
  <c r="AH172" i="1"/>
  <c r="AH129" i="1"/>
  <c r="AH46" i="1"/>
  <c r="AH190" i="1"/>
  <c r="AH58" i="1"/>
  <c r="AH59" i="1"/>
  <c r="AH179" i="1"/>
  <c r="AH169" i="1"/>
  <c r="AH112" i="1"/>
  <c r="AH132" i="1"/>
  <c r="AH186" i="1"/>
  <c r="AH223" i="1"/>
  <c r="AH79" i="1"/>
  <c r="AH99" i="1"/>
  <c r="AH77" i="1"/>
  <c r="AH167" i="1"/>
  <c r="AH41" i="1"/>
  <c r="AH81" i="1"/>
  <c r="AH160" i="1"/>
  <c r="AH35" i="1"/>
  <c r="AH193" i="1"/>
  <c r="AH39" i="1"/>
  <c r="AH187" i="1"/>
  <c r="AH140" i="1"/>
  <c r="AH93" i="1"/>
  <c r="AH203" i="1"/>
  <c r="AH107" i="1"/>
  <c r="AH181" i="1"/>
  <c r="AH60" i="1"/>
  <c r="AH74" i="1"/>
  <c r="AH189" i="1"/>
  <c r="AH232" i="1"/>
  <c r="AH54" i="1"/>
  <c r="AH48" i="1"/>
  <c r="AH68" i="1"/>
  <c r="AH89" i="1"/>
  <c r="AH159" i="1"/>
  <c r="AH195" i="1"/>
  <c r="AH185" i="1"/>
  <c r="AH128" i="1"/>
  <c r="AH148" i="1"/>
  <c r="AH202" i="1"/>
  <c r="AH50" i="1"/>
  <c r="AH95" i="1"/>
  <c r="AH115" i="1"/>
  <c r="AH37" i="1"/>
  <c r="AH196" i="1"/>
  <c r="AH178" i="1"/>
  <c r="AH198" i="1"/>
  <c r="AH102" i="1"/>
  <c r="AH104" i="1"/>
  <c r="AI45" i="1"/>
  <c r="AI173" i="1"/>
  <c r="AI102" i="1"/>
  <c r="AI172" i="1"/>
  <c r="AI198" i="1"/>
  <c r="AI105" i="1"/>
  <c r="AI233" i="1"/>
  <c r="AI44" i="1"/>
  <c r="AI83" i="1"/>
  <c r="AI120" i="1"/>
  <c r="AI47" i="1"/>
  <c r="AI101" i="1"/>
  <c r="AI229" i="1"/>
  <c r="AI36" i="1"/>
  <c r="AI75" i="1"/>
  <c r="AI49" i="1"/>
  <c r="AI177" i="1"/>
  <c r="AI106" i="1"/>
  <c r="AI178" i="1"/>
  <c r="AI61" i="1"/>
  <c r="AI189" i="1"/>
  <c r="AI118" i="1"/>
  <c r="AI194" i="1"/>
  <c r="AI219" i="1"/>
  <c r="AI121" i="1"/>
  <c r="AI50" i="1"/>
  <c r="AI76" i="1"/>
  <c r="AI115" i="1"/>
  <c r="AI152" i="1"/>
  <c r="AI168" i="1"/>
  <c r="AI117" i="1"/>
  <c r="AI46" i="1"/>
  <c r="AI68" i="1"/>
  <c r="AI107" i="1"/>
  <c r="AI65" i="1"/>
  <c r="AI193" i="1"/>
  <c r="AI122" i="1"/>
  <c r="AI199" i="1"/>
  <c r="AI77" i="1"/>
  <c r="AI205" i="1"/>
  <c r="AI134" i="1"/>
  <c r="AI215" i="1"/>
  <c r="AI137" i="1"/>
  <c r="AI66" i="1"/>
  <c r="AI108" i="1"/>
  <c r="AI147" i="1"/>
  <c r="AI175" i="1"/>
  <c r="AI35" i="1"/>
  <c r="AI133" i="1"/>
  <c r="AI62" i="1"/>
  <c r="AI100" i="1"/>
  <c r="AI139" i="1"/>
  <c r="AI81" i="1"/>
  <c r="AI209" i="1"/>
  <c r="AI138" i="1"/>
  <c r="AI220" i="1"/>
  <c r="AI93" i="1"/>
  <c r="AI221" i="1"/>
  <c r="AI150" i="1"/>
  <c r="AI59" i="1"/>
  <c r="AI153" i="1"/>
  <c r="AI82" i="1"/>
  <c r="AI140" i="1"/>
  <c r="AI171" i="1"/>
  <c r="AI196" i="1"/>
  <c r="AI149" i="1"/>
  <c r="AI78" i="1"/>
  <c r="AI132" i="1"/>
  <c r="AI166" i="1"/>
  <c r="AI97" i="1"/>
  <c r="AI109" i="1"/>
  <c r="AI38" i="1"/>
  <c r="AI52" i="1"/>
  <c r="AI91" i="1"/>
  <c r="AI41" i="1"/>
  <c r="AI169" i="1"/>
  <c r="AI98" i="1"/>
  <c r="AI167" i="1"/>
  <c r="AI192" i="1"/>
  <c r="AI218" i="1"/>
  <c r="AI71" i="1"/>
  <c r="AI37" i="1"/>
  <c r="AI165" i="1"/>
  <c r="AI94" i="1"/>
  <c r="AI162" i="1"/>
  <c r="AI187" i="1"/>
  <c r="AI113" i="1"/>
  <c r="AI42" i="1"/>
  <c r="AI60" i="1"/>
  <c r="AI141" i="1"/>
  <c r="AI70" i="1"/>
  <c r="AI116" i="1"/>
  <c r="AI155" i="1"/>
  <c r="AI73" i="1"/>
  <c r="AI201" i="1"/>
  <c r="AI130" i="1"/>
  <c r="AI210" i="1"/>
  <c r="AI56" i="1"/>
  <c r="AI69" i="1"/>
  <c r="AI197" i="1"/>
  <c r="AI126" i="1"/>
  <c r="AI204" i="1"/>
  <c r="AI230" i="1"/>
  <c r="AI145" i="1"/>
  <c r="AI74" i="1"/>
  <c r="AI124" i="1"/>
  <c r="AI157" i="1"/>
  <c r="AI86" i="1"/>
  <c r="AI148" i="1"/>
  <c r="AI176" i="1"/>
  <c r="AI89" i="1"/>
  <c r="AI217" i="1"/>
  <c r="AI146" i="1"/>
  <c r="AI231" i="1"/>
  <c r="AI51" i="1"/>
  <c r="AI88" i="1"/>
  <c r="AI84" i="1"/>
  <c r="AI53" i="1"/>
  <c r="AI183" i="1"/>
  <c r="AI225" i="1"/>
  <c r="AI156" i="1"/>
  <c r="AI131" i="1"/>
  <c r="AI164" i="1"/>
  <c r="AI211" i="1"/>
  <c r="AI222" i="1"/>
  <c r="AI206" i="1"/>
  <c r="AI191" i="1"/>
  <c r="AI64" i="1"/>
  <c r="AI214" i="1"/>
  <c r="AI85" i="1"/>
  <c r="AI226" i="1"/>
  <c r="AI160" i="1"/>
  <c r="AI186" i="1"/>
  <c r="AI200" i="1"/>
  <c r="AI234" i="1"/>
  <c r="AI163" i="1"/>
  <c r="AI128" i="1"/>
  <c r="AI79" i="1"/>
  <c r="AI123" i="1"/>
  <c r="AI181" i="1"/>
  <c r="AI182" i="1"/>
  <c r="AI207" i="1"/>
  <c r="AI127" i="1"/>
  <c r="AI180" i="1"/>
  <c r="AI48" i="1"/>
  <c r="AI216" i="1"/>
  <c r="AI57" i="1"/>
  <c r="AI213" i="1"/>
  <c r="AI43" i="1"/>
  <c r="AI203" i="1"/>
  <c r="AI228" i="1"/>
  <c r="AI87" i="1"/>
  <c r="AI135" i="1"/>
  <c r="AI223" i="1"/>
  <c r="AI103" i="1"/>
  <c r="AI112" i="1"/>
  <c r="AI185" i="1"/>
  <c r="AI151" i="1"/>
  <c r="AI208" i="1"/>
  <c r="AI58" i="1"/>
  <c r="AI224" i="1"/>
  <c r="AI40" i="1"/>
  <c r="AI195" i="1"/>
  <c r="AI227" i="1"/>
  <c r="AI174" i="1"/>
  <c r="AI170" i="1"/>
  <c r="AI232" i="1"/>
  <c r="AI125" i="1"/>
  <c r="AI90" i="1"/>
  <c r="AI72" i="1"/>
  <c r="AI96" i="1"/>
  <c r="AI119" i="1"/>
  <c r="AI212" i="1"/>
  <c r="AI39" i="1"/>
  <c r="AI114" i="1"/>
  <c r="AI184" i="1"/>
  <c r="AI110" i="1"/>
  <c r="AI129" i="1"/>
  <c r="AI154" i="1"/>
  <c r="AI67" i="1"/>
  <c r="AI104" i="1"/>
  <c r="AI63" i="1"/>
  <c r="AI159" i="1"/>
  <c r="AI190" i="1"/>
  <c r="AI80" i="1"/>
  <c r="AI95" i="1"/>
  <c r="AI143" i="1"/>
  <c r="AI54" i="1"/>
  <c r="AI136" i="1"/>
  <c r="AI188" i="1"/>
  <c r="AI55" i="1"/>
  <c r="AI111" i="1"/>
  <c r="AI142" i="1"/>
  <c r="AI158" i="1"/>
  <c r="AI161" i="1"/>
  <c r="AI202" i="1"/>
  <c r="AI179" i="1"/>
  <c r="AI92" i="1"/>
  <c r="AI99" i="1"/>
  <c r="AI144" i="1"/>
  <c r="AE66" i="1"/>
  <c r="AE194" i="1"/>
  <c r="AE101" i="1"/>
  <c r="AE36" i="1"/>
  <c r="AE164" i="1"/>
  <c r="AE98" i="1"/>
  <c r="AE226" i="1"/>
  <c r="AE133" i="1"/>
  <c r="AE68" i="1"/>
  <c r="AE196" i="1"/>
  <c r="AE114" i="1"/>
  <c r="AE149" i="1"/>
  <c r="AE146" i="1"/>
  <c r="AE53" i="1"/>
  <c r="AE50" i="1"/>
  <c r="AE197" i="1"/>
  <c r="AE180" i="1"/>
  <c r="AE110" i="1"/>
  <c r="AE145" i="1"/>
  <c r="AE80" i="1"/>
  <c r="AE208" i="1"/>
  <c r="AE122" i="1"/>
  <c r="AE157" i="1"/>
  <c r="AE92" i="1"/>
  <c r="AE220" i="1"/>
  <c r="AE118" i="1"/>
  <c r="AE153" i="1"/>
  <c r="AE88" i="1"/>
  <c r="AE216" i="1"/>
  <c r="AE82" i="1"/>
  <c r="AE213" i="1"/>
  <c r="AE212" i="1"/>
  <c r="AE126" i="1"/>
  <c r="AE161" i="1"/>
  <c r="AE96" i="1"/>
  <c r="AE224" i="1"/>
  <c r="AE138" i="1"/>
  <c r="AE45" i="1"/>
  <c r="AE173" i="1"/>
  <c r="AE108" i="1"/>
  <c r="AE134" i="1"/>
  <c r="AE41" i="1"/>
  <c r="AE169" i="1"/>
  <c r="AE104" i="1"/>
  <c r="AE232" i="1"/>
  <c r="AE130" i="1"/>
  <c r="AE37" i="1"/>
  <c r="AE52" i="1"/>
  <c r="AE228" i="1"/>
  <c r="AE142" i="1"/>
  <c r="AE49" i="1"/>
  <c r="AE177" i="1"/>
  <c r="AE112" i="1"/>
  <c r="AE154" i="1"/>
  <c r="AE61" i="1"/>
  <c r="AE189" i="1"/>
  <c r="AE124" i="1"/>
  <c r="AE150" i="1"/>
  <c r="AE57" i="1"/>
  <c r="AE185" i="1"/>
  <c r="AE120" i="1"/>
  <c r="AE162" i="1"/>
  <c r="AE69" i="1"/>
  <c r="AE84" i="1"/>
  <c r="AE158" i="1"/>
  <c r="AE65" i="1"/>
  <c r="AE193" i="1"/>
  <c r="AE128" i="1"/>
  <c r="AE35" i="1"/>
  <c r="AE42" i="1"/>
  <c r="AE170" i="1"/>
  <c r="AE77" i="1"/>
  <c r="AE205" i="1"/>
  <c r="AE140" i="1"/>
  <c r="AE79" i="1"/>
  <c r="AE75" i="1"/>
  <c r="AE71" i="1"/>
  <c r="AE83" i="1"/>
  <c r="AE38" i="1"/>
  <c r="AE166" i="1"/>
  <c r="AE73" i="1"/>
  <c r="AE201" i="1"/>
  <c r="AE136" i="1"/>
  <c r="AE63" i="1"/>
  <c r="AE59" i="1"/>
  <c r="AE55" i="1"/>
  <c r="AE67" i="1"/>
  <c r="AE178" i="1"/>
  <c r="AE85" i="1"/>
  <c r="AE100" i="1"/>
  <c r="AE47" i="1"/>
  <c r="AE43" i="1"/>
  <c r="AE39" i="1"/>
  <c r="AE51" i="1"/>
  <c r="AE46" i="1"/>
  <c r="AE174" i="1"/>
  <c r="AE81" i="1"/>
  <c r="AE209" i="1"/>
  <c r="AE144" i="1"/>
  <c r="AE95" i="1"/>
  <c r="AE91" i="1"/>
  <c r="AE87" i="1"/>
  <c r="AE99" i="1"/>
  <c r="AE58" i="1"/>
  <c r="AE186" i="1"/>
  <c r="AE93" i="1"/>
  <c r="AE221" i="1"/>
  <c r="AE156" i="1"/>
  <c r="AE143" i="1"/>
  <c r="AE139" i="1"/>
  <c r="AE135" i="1"/>
  <c r="AE147" i="1"/>
  <c r="AE54" i="1"/>
  <c r="AE182" i="1"/>
  <c r="AE89" i="1"/>
  <c r="AE217" i="1"/>
  <c r="AE152" i="1"/>
  <c r="AE127" i="1"/>
  <c r="AE123" i="1"/>
  <c r="AE119" i="1"/>
  <c r="AE131" i="1"/>
  <c r="AE210" i="1"/>
  <c r="AE117" i="1"/>
  <c r="AE116" i="1"/>
  <c r="AE111" i="1"/>
  <c r="AE107" i="1"/>
  <c r="AE103" i="1"/>
  <c r="AE115" i="1"/>
  <c r="AE62" i="1"/>
  <c r="AE190" i="1"/>
  <c r="AE97" i="1"/>
  <c r="AE225" i="1"/>
  <c r="AE160" i="1"/>
  <c r="AE159" i="1"/>
  <c r="AE155" i="1"/>
  <c r="AE151" i="1"/>
  <c r="AE163" i="1"/>
  <c r="AE74" i="1"/>
  <c r="AE202" i="1"/>
  <c r="AE109" i="1"/>
  <c r="AE44" i="1"/>
  <c r="AE172" i="1"/>
  <c r="AE207" i="1"/>
  <c r="AE203" i="1"/>
  <c r="AE199" i="1"/>
  <c r="AE211" i="1"/>
  <c r="AE70" i="1"/>
  <c r="AE198" i="1"/>
  <c r="AE105" i="1"/>
  <c r="AE40" i="1"/>
  <c r="AE168" i="1"/>
  <c r="AE191" i="1"/>
  <c r="AE187" i="1"/>
  <c r="AE183" i="1"/>
  <c r="AE195" i="1"/>
  <c r="AE165" i="1"/>
  <c r="AE132" i="1"/>
  <c r="AE175" i="1"/>
  <c r="AE171" i="1"/>
  <c r="AE167" i="1"/>
  <c r="AE179" i="1"/>
  <c r="AE78" i="1"/>
  <c r="AE206" i="1"/>
  <c r="AE113" i="1"/>
  <c r="AE48" i="1"/>
  <c r="AE176" i="1"/>
  <c r="AE223" i="1"/>
  <c r="AE219" i="1"/>
  <c r="AE215" i="1"/>
  <c r="AE227" i="1"/>
  <c r="AE90" i="1"/>
  <c r="AE218" i="1"/>
  <c r="AE125" i="1"/>
  <c r="AE60" i="1"/>
  <c r="AE188" i="1"/>
  <c r="AE86" i="1"/>
  <c r="AE214" i="1"/>
  <c r="AE121" i="1"/>
  <c r="AE56" i="1"/>
  <c r="AE184" i="1"/>
  <c r="AE181" i="1"/>
  <c r="AE148" i="1"/>
  <c r="AE233" i="1"/>
  <c r="AE231" i="1"/>
  <c r="AE229" i="1"/>
  <c r="AE94" i="1"/>
  <c r="AE222" i="1"/>
  <c r="AE129" i="1"/>
  <c r="AE64" i="1"/>
  <c r="AE192" i="1"/>
  <c r="AE106" i="1"/>
  <c r="AE234" i="1"/>
  <c r="AE141" i="1"/>
  <c r="AE76" i="1"/>
  <c r="AE204" i="1"/>
  <c r="AE102" i="1"/>
  <c r="AE230" i="1"/>
  <c r="AE137" i="1"/>
  <c r="AE72" i="1"/>
  <c r="AE200" i="1"/>
  <c r="AL179" i="1" l="1"/>
  <c r="AN179" i="1" s="1"/>
  <c r="AL61" i="1"/>
  <c r="AL40" i="1"/>
  <c r="AO40" i="1" s="1"/>
  <c r="AL70" i="1"/>
  <c r="AO70" i="1" s="1"/>
  <c r="AL55" i="1"/>
  <c r="AN55" i="1" s="1"/>
  <c r="AL173" i="1"/>
  <c r="AN173" i="1" s="1"/>
  <c r="AL153" i="1"/>
  <c r="AO153" i="1" s="1"/>
  <c r="AL43" i="1"/>
  <c r="AO43" i="1" s="1"/>
  <c r="AL77" i="1"/>
  <c r="AO77" i="1" s="1"/>
  <c r="AL142" i="1"/>
  <c r="AN40" i="1"/>
  <c r="AL141" i="1"/>
  <c r="AL36" i="1"/>
  <c r="AL160" i="1"/>
  <c r="AL65" i="1"/>
  <c r="AL154" i="1"/>
  <c r="AL113" i="1"/>
  <c r="AL156" i="1"/>
  <c r="AL97" i="1"/>
  <c r="AL42" i="1"/>
  <c r="AL38" i="1"/>
  <c r="AL93" i="1"/>
  <c r="AL67" i="1"/>
  <c r="AL217" i="1"/>
  <c r="AL99" i="1"/>
  <c r="AL201" i="1"/>
  <c r="AL192" i="1"/>
  <c r="AL149" i="1"/>
  <c r="AL202" i="1"/>
  <c r="AL169" i="1"/>
  <c r="AL231" i="1"/>
  <c r="AL229" i="1"/>
  <c r="AL137" i="1"/>
  <c r="S19" i="1"/>
  <c r="R19" i="1"/>
  <c r="AL199" i="1"/>
  <c r="AL205" i="1"/>
  <c r="AL92" i="1"/>
  <c r="AL171" i="1"/>
  <c r="AL124" i="1"/>
  <c r="Q19" i="1"/>
  <c r="AL45" i="1"/>
  <c r="AL158" i="1"/>
  <c r="AL196" i="1"/>
  <c r="AL175" i="1"/>
  <c r="AL174" i="1"/>
  <c r="AL37" i="1"/>
  <c r="AL123" i="1"/>
  <c r="AL44" i="1"/>
  <c r="AL193" i="1"/>
  <c r="AL161" i="1"/>
  <c r="AL127" i="1"/>
  <c r="AL89" i="1"/>
  <c r="AL114" i="1"/>
  <c r="AL73" i="1"/>
  <c r="AL185" i="1"/>
  <c r="AL41" i="1"/>
  <c r="AL200" i="1"/>
  <c r="AL118" i="1"/>
  <c r="AL194" i="1"/>
  <c r="AL215" i="1"/>
  <c r="AL103" i="1"/>
  <c r="AL53" i="1"/>
  <c r="AL90" i="1"/>
  <c r="L19" i="1"/>
  <c r="AL128" i="1"/>
  <c r="AL209" i="1"/>
  <c r="AN61" i="1"/>
  <c r="AO61" i="1"/>
  <c r="AL203" i="1"/>
  <c r="AL186" i="1"/>
  <c r="AL129" i="1"/>
  <c r="AL146" i="1"/>
  <c r="AL206" i="1"/>
  <c r="AL190" i="1"/>
  <c r="AL80" i="1"/>
  <c r="AL56" i="1"/>
  <c r="AL46" i="1"/>
  <c r="AL109" i="1"/>
  <c r="AL195" i="1"/>
  <c r="AL100" i="1"/>
  <c r="AL184" i="1"/>
  <c r="AL110" i="1"/>
  <c r="AL233" i="1"/>
  <c r="AL58" i="1"/>
  <c r="AL82" i="1"/>
  <c r="AL60" i="1"/>
  <c r="AL66" i="1"/>
  <c r="AL57" i="1"/>
  <c r="AL116" i="1"/>
  <c r="AL111" i="1"/>
  <c r="AL159" i="1"/>
  <c r="AL230" i="1"/>
  <c r="AL181" i="1"/>
  <c r="AL210" i="1"/>
  <c r="AL121" i="1"/>
  <c r="N19" i="1"/>
  <c r="AL227" i="1"/>
  <c r="AL176" i="1"/>
  <c r="AL120" i="1"/>
  <c r="AL78" i="1"/>
  <c r="AL189" i="1"/>
  <c r="AL62" i="1"/>
  <c r="AL151" i="1"/>
  <c r="AL108" i="1"/>
  <c r="AL177" i="1"/>
  <c r="AL191" i="1"/>
  <c r="AL122" i="1"/>
  <c r="AL76" i="1"/>
  <c r="AL105" i="1"/>
  <c r="AL182" i="1"/>
  <c r="AL207" i="1"/>
  <c r="AL166" i="1"/>
  <c r="AL50" i="1"/>
  <c r="AL232" i="1"/>
  <c r="AL134" i="1"/>
  <c r="AL168" i="1"/>
  <c r="AL102" i="1"/>
  <c r="AL162" i="1"/>
  <c r="P19" i="1"/>
  <c r="J19" i="1"/>
  <c r="AL35" i="1"/>
  <c r="AL84" i="1"/>
  <c r="AL63" i="1"/>
  <c r="AL222" i="1"/>
  <c r="AL88" i="1"/>
  <c r="AL135" i="1"/>
  <c r="AL64" i="1"/>
  <c r="AL223" i="1"/>
  <c r="AL180" i="1"/>
  <c r="AL187" i="1"/>
  <c r="AL98" i="1"/>
  <c r="AL132" i="1"/>
  <c r="AL220" i="1"/>
  <c r="AL49" i="1"/>
  <c r="AL104" i="1"/>
  <c r="AL216" i="1"/>
  <c r="AL126" i="1"/>
  <c r="AL147" i="1"/>
  <c r="AL133" i="1"/>
  <c r="AL72" i="1"/>
  <c r="AL54" i="1"/>
  <c r="AL96" i="1"/>
  <c r="AL68" i="1"/>
  <c r="AL79" i="1"/>
  <c r="AL150" i="1"/>
  <c r="AL204" i="1"/>
  <c r="AL75" i="1"/>
  <c r="AL125" i="1"/>
  <c r="AL212" i="1"/>
  <c r="AL95" i="1"/>
  <c r="AL214" i="1"/>
  <c r="O19" i="1"/>
  <c r="AL112" i="1"/>
  <c r="AL208" i="1"/>
  <c r="AL152" i="1"/>
  <c r="AL94" i="1"/>
  <c r="AL51" i="1"/>
  <c r="AL226" i="1"/>
  <c r="AL219" i="1"/>
  <c r="AL130" i="1"/>
  <c r="AL157" i="1"/>
  <c r="AL167" i="1"/>
  <c r="AL188" i="1"/>
  <c r="AL52" i="1"/>
  <c r="AL164" i="1"/>
  <c r="AL143" i="1"/>
  <c r="AL59" i="1"/>
  <c r="AL198" i="1"/>
  <c r="AL183" i="1"/>
  <c r="AL48" i="1"/>
  <c r="AL119" i="1"/>
  <c r="AL140" i="1"/>
  <c r="AL172" i="1"/>
  <c r="AL71" i="1"/>
  <c r="AL138" i="1"/>
  <c r="AL163" i="1"/>
  <c r="AL211" i="1"/>
  <c r="AL224" i="1"/>
  <c r="AL136" i="1"/>
  <c r="AL86" i="1"/>
  <c r="K19" i="1"/>
  <c r="AL101" i="1"/>
  <c r="AL47" i="1"/>
  <c r="AL107" i="1"/>
  <c r="AL115" i="1"/>
  <c r="AL69" i="1"/>
  <c r="AL87" i="1"/>
  <c r="AL213" i="1"/>
  <c r="AL225" i="1"/>
  <c r="AL197" i="1"/>
  <c r="AL74" i="1"/>
  <c r="AL81" i="1"/>
  <c r="AL148" i="1"/>
  <c r="AL228" i="1"/>
  <c r="AL39" i="1"/>
  <c r="AL91" i="1"/>
  <c r="AL155" i="1"/>
  <c r="AL218" i="1"/>
  <c r="AL145" i="1"/>
  <c r="AL178" i="1"/>
  <c r="AL144" i="1"/>
  <c r="AL165" i="1"/>
  <c r="AL234" i="1"/>
  <c r="AL139" i="1"/>
  <c r="AL221" i="1"/>
  <c r="AL117" i="1"/>
  <c r="AL170" i="1"/>
  <c r="AL85" i="1"/>
  <c r="AL106" i="1"/>
  <c r="AL131" i="1"/>
  <c r="AL83" i="1"/>
  <c r="M19" i="1"/>
  <c r="AN77" i="1" l="1"/>
  <c r="AO179" i="1"/>
  <c r="AN153" i="1"/>
  <c r="AO55" i="1"/>
  <c r="AO173" i="1"/>
  <c r="AN43" i="1"/>
  <c r="AN70" i="1"/>
  <c r="AN157" i="1"/>
  <c r="AO157" i="1"/>
  <c r="AN180" i="1"/>
  <c r="AO180" i="1"/>
  <c r="AN232" i="1"/>
  <c r="AO232" i="1"/>
  <c r="AN78" i="1"/>
  <c r="AO78" i="1"/>
  <c r="AN75" i="1"/>
  <c r="AO75" i="1"/>
  <c r="AN98" i="1"/>
  <c r="AO98" i="1"/>
  <c r="AN88" i="1"/>
  <c r="AO88" i="1"/>
  <c r="AN166" i="1"/>
  <c r="AO166" i="1"/>
  <c r="AN108" i="1"/>
  <c r="AO108" i="1"/>
  <c r="AN176" i="1"/>
  <c r="AO176" i="1"/>
  <c r="AN121" i="1"/>
  <c r="AO121" i="1"/>
  <c r="AO82" i="1"/>
  <c r="AN82" i="1"/>
  <c r="AN56" i="1"/>
  <c r="AO56" i="1"/>
  <c r="AN129" i="1"/>
  <c r="AO129" i="1"/>
  <c r="AO41" i="1"/>
  <c r="AN41" i="1"/>
  <c r="AN161" i="1"/>
  <c r="AO161" i="1"/>
  <c r="AN199" i="1"/>
  <c r="AO199" i="1"/>
  <c r="AN231" i="1"/>
  <c r="AO231" i="1"/>
  <c r="AN67" i="1"/>
  <c r="AO67" i="1"/>
  <c r="AN160" i="1"/>
  <c r="AO160" i="1"/>
  <c r="AO106" i="1"/>
  <c r="AN106" i="1"/>
  <c r="AN164" i="1"/>
  <c r="AO164" i="1"/>
  <c r="AN234" i="1"/>
  <c r="AO234" i="1"/>
  <c r="AO79" i="1"/>
  <c r="AN79" i="1"/>
  <c r="AN177" i="1"/>
  <c r="AO177" i="1"/>
  <c r="AN83" i="1"/>
  <c r="AO83" i="1"/>
  <c r="AN165" i="1"/>
  <c r="AO165" i="1"/>
  <c r="AN69" i="1"/>
  <c r="AO69" i="1"/>
  <c r="AN138" i="1"/>
  <c r="AO138" i="1"/>
  <c r="AN188" i="1"/>
  <c r="AO188" i="1"/>
  <c r="AN91" i="1"/>
  <c r="AO91" i="1"/>
  <c r="AN74" i="1"/>
  <c r="AO74" i="1"/>
  <c r="AN167" i="1"/>
  <c r="AO167" i="1"/>
  <c r="AO96" i="1"/>
  <c r="AN96" i="1"/>
  <c r="AN126" i="1"/>
  <c r="AO126" i="1"/>
  <c r="AN187" i="1"/>
  <c r="AO187" i="1"/>
  <c r="AN222" i="1"/>
  <c r="AO222" i="1"/>
  <c r="AO122" i="1"/>
  <c r="AN122" i="1"/>
  <c r="AN210" i="1"/>
  <c r="AO210" i="1"/>
  <c r="AN100" i="1"/>
  <c r="AO100" i="1"/>
  <c r="AO80" i="1"/>
  <c r="AN80" i="1"/>
  <c r="AN186" i="1"/>
  <c r="AO186" i="1"/>
  <c r="AO53" i="1"/>
  <c r="AN53" i="1"/>
  <c r="AN89" i="1"/>
  <c r="AO89" i="1"/>
  <c r="AO175" i="1"/>
  <c r="AN175" i="1"/>
  <c r="AN45" i="1"/>
  <c r="AO45" i="1"/>
  <c r="AN171" i="1"/>
  <c r="AO171" i="1"/>
  <c r="AO169" i="1"/>
  <c r="AN169" i="1"/>
  <c r="AN99" i="1"/>
  <c r="AO99" i="1"/>
  <c r="AO42" i="1"/>
  <c r="AN42" i="1"/>
  <c r="AO36" i="1"/>
  <c r="AN36" i="1"/>
  <c r="AN221" i="1"/>
  <c r="AO221" i="1"/>
  <c r="AO225" i="1"/>
  <c r="AN225" i="1"/>
  <c r="AO212" i="1"/>
  <c r="AN212" i="1"/>
  <c r="AO84" i="1"/>
  <c r="AN84" i="1"/>
  <c r="AN230" i="1"/>
  <c r="AO230" i="1"/>
  <c r="AN218" i="1"/>
  <c r="AO218" i="1"/>
  <c r="AN220" i="1"/>
  <c r="AO220" i="1"/>
  <c r="AN168" i="1"/>
  <c r="AO168" i="1"/>
  <c r="AN170" i="1"/>
  <c r="AO170" i="1"/>
  <c r="AN81" i="1"/>
  <c r="AO81" i="1"/>
  <c r="AN140" i="1"/>
  <c r="AO140" i="1"/>
  <c r="AO51" i="1"/>
  <c r="AN51" i="1"/>
  <c r="AO119" i="1"/>
  <c r="AN119" i="1"/>
  <c r="AO214" i="1"/>
  <c r="AN214" i="1"/>
  <c r="AO131" i="1"/>
  <c r="AN131" i="1"/>
  <c r="AN117" i="1"/>
  <c r="AO117" i="1"/>
  <c r="AN197" i="1"/>
  <c r="AO197" i="1"/>
  <c r="AO115" i="1"/>
  <c r="AN115" i="1"/>
  <c r="AN107" i="1"/>
  <c r="AO107" i="1"/>
  <c r="AN47" i="1"/>
  <c r="AO47" i="1"/>
  <c r="AN86" i="1"/>
  <c r="AO86" i="1"/>
  <c r="AO71" i="1"/>
  <c r="AN71" i="1"/>
  <c r="AO143" i="1"/>
  <c r="AN143" i="1"/>
  <c r="AO94" i="1"/>
  <c r="AN94" i="1"/>
  <c r="AN95" i="1"/>
  <c r="AO95" i="1"/>
  <c r="AO204" i="1"/>
  <c r="AN204" i="1"/>
  <c r="AO54" i="1"/>
  <c r="AN54" i="1"/>
  <c r="AO216" i="1"/>
  <c r="AN216" i="1"/>
  <c r="AO63" i="1"/>
  <c r="AN63" i="1"/>
  <c r="AN134" i="1"/>
  <c r="AO134" i="1"/>
  <c r="AN207" i="1"/>
  <c r="AO207" i="1"/>
  <c r="AN151" i="1"/>
  <c r="AO151" i="1"/>
  <c r="AO181" i="1"/>
  <c r="AN181" i="1"/>
  <c r="AN58" i="1"/>
  <c r="AO58" i="1"/>
  <c r="AO190" i="1"/>
  <c r="AN190" i="1"/>
  <c r="AN103" i="1"/>
  <c r="AO103" i="1"/>
  <c r="AN193" i="1"/>
  <c r="AO193" i="1"/>
  <c r="AO217" i="1"/>
  <c r="AN217" i="1"/>
  <c r="AN93" i="1"/>
  <c r="AO93" i="1"/>
  <c r="AN136" i="1"/>
  <c r="AO136" i="1"/>
  <c r="AO72" i="1"/>
  <c r="AN72" i="1"/>
  <c r="AN182" i="1"/>
  <c r="AO182" i="1"/>
  <c r="AN57" i="1"/>
  <c r="AO57" i="1"/>
  <c r="AO233" i="1"/>
  <c r="AN233" i="1"/>
  <c r="AO195" i="1"/>
  <c r="AN195" i="1"/>
  <c r="AN185" i="1"/>
  <c r="AO185" i="1"/>
  <c r="AO44" i="1"/>
  <c r="AN44" i="1"/>
  <c r="AN202" i="1"/>
  <c r="AO202" i="1"/>
  <c r="AO97" i="1"/>
  <c r="AN97" i="1"/>
  <c r="AN141" i="1"/>
  <c r="AO141" i="1"/>
  <c r="AN139" i="1"/>
  <c r="AO139" i="1"/>
  <c r="AN178" i="1"/>
  <c r="AO178" i="1"/>
  <c r="AO39" i="1"/>
  <c r="AN39" i="1"/>
  <c r="AN213" i="1"/>
  <c r="AO213" i="1"/>
  <c r="AN224" i="1"/>
  <c r="AO224" i="1"/>
  <c r="AO183" i="1"/>
  <c r="AN183" i="1"/>
  <c r="AN52" i="1"/>
  <c r="AO52" i="1"/>
  <c r="AN130" i="1"/>
  <c r="AO130" i="1"/>
  <c r="AN208" i="1"/>
  <c r="AO208" i="1"/>
  <c r="AN150" i="1"/>
  <c r="AO150" i="1"/>
  <c r="AO104" i="1"/>
  <c r="AN104" i="1"/>
  <c r="AN223" i="1"/>
  <c r="AO223" i="1"/>
  <c r="AN35" i="1"/>
  <c r="AP35" i="1"/>
  <c r="AO35" i="1"/>
  <c r="AN162" i="1"/>
  <c r="AO162" i="1"/>
  <c r="AN62" i="1"/>
  <c r="AO62" i="1"/>
  <c r="AO227" i="1"/>
  <c r="AN227" i="1"/>
  <c r="AN159" i="1"/>
  <c r="AO159" i="1"/>
  <c r="AO66" i="1"/>
  <c r="AN66" i="1"/>
  <c r="AN110" i="1"/>
  <c r="AO110" i="1"/>
  <c r="AN206" i="1"/>
  <c r="AO206" i="1"/>
  <c r="AN215" i="1"/>
  <c r="AO215" i="1"/>
  <c r="AN123" i="1"/>
  <c r="AO123" i="1"/>
  <c r="AN137" i="1"/>
  <c r="AO137" i="1"/>
  <c r="AO156" i="1"/>
  <c r="AN156" i="1"/>
  <c r="AN152" i="1"/>
  <c r="AO152" i="1"/>
  <c r="AO85" i="1"/>
  <c r="AN85" i="1"/>
  <c r="AN145" i="1"/>
  <c r="AO145" i="1"/>
  <c r="AN211" i="1"/>
  <c r="AO211" i="1"/>
  <c r="AN172" i="1"/>
  <c r="AO172" i="1"/>
  <c r="AO198" i="1"/>
  <c r="AN198" i="1"/>
  <c r="AN219" i="1"/>
  <c r="AO219" i="1"/>
  <c r="AO112" i="1"/>
  <c r="AN112" i="1"/>
  <c r="AO133" i="1"/>
  <c r="AN133" i="1"/>
  <c r="AO49" i="1"/>
  <c r="AN49" i="1"/>
  <c r="AO64" i="1"/>
  <c r="AN64" i="1"/>
  <c r="AO102" i="1"/>
  <c r="AN102" i="1"/>
  <c r="AN105" i="1"/>
  <c r="AO105" i="1"/>
  <c r="AO189" i="1"/>
  <c r="AN189" i="1"/>
  <c r="AO184" i="1"/>
  <c r="AN184" i="1"/>
  <c r="AO109" i="1"/>
  <c r="AN109" i="1"/>
  <c r="AO194" i="1"/>
  <c r="AN194" i="1"/>
  <c r="AO127" i="1"/>
  <c r="AN127" i="1"/>
  <c r="AO196" i="1"/>
  <c r="AN196" i="1"/>
  <c r="AN149" i="1"/>
  <c r="AO149" i="1"/>
  <c r="AO113" i="1"/>
  <c r="AN113" i="1"/>
  <c r="AN124" i="1"/>
  <c r="AO124" i="1"/>
  <c r="AN92" i="1"/>
  <c r="AO92" i="1"/>
  <c r="AN229" i="1"/>
  <c r="AO229" i="1"/>
  <c r="AN192" i="1"/>
  <c r="AO192" i="1"/>
  <c r="AO154" i="1"/>
  <c r="AN154" i="1"/>
  <c r="AN144" i="1"/>
  <c r="AO144" i="1"/>
  <c r="AO101" i="1"/>
  <c r="AN101" i="1"/>
  <c r="AN48" i="1"/>
  <c r="AO48" i="1"/>
  <c r="AO191" i="1"/>
  <c r="AN191" i="1"/>
  <c r="AO228" i="1"/>
  <c r="AN228" i="1"/>
  <c r="AN226" i="1"/>
  <c r="AO226" i="1"/>
  <c r="AN111" i="1"/>
  <c r="AO111" i="1"/>
  <c r="AN209" i="1"/>
  <c r="AO209" i="1"/>
  <c r="AN118" i="1"/>
  <c r="AO118" i="1"/>
  <c r="AN73" i="1"/>
  <c r="AO73" i="1"/>
  <c r="AN37" i="1"/>
  <c r="AO37" i="1"/>
  <c r="AN158" i="1"/>
  <c r="AO158" i="1"/>
  <c r="AO155" i="1"/>
  <c r="AN155" i="1"/>
  <c r="AN148" i="1"/>
  <c r="AO148" i="1"/>
  <c r="AO87" i="1"/>
  <c r="AN87" i="1"/>
  <c r="AN163" i="1"/>
  <c r="AO163" i="1"/>
  <c r="AN59" i="1"/>
  <c r="AO59" i="1"/>
  <c r="AN125" i="1"/>
  <c r="AO125" i="1"/>
  <c r="AN68" i="1"/>
  <c r="AO68" i="1"/>
  <c r="AN147" i="1"/>
  <c r="AO147" i="1"/>
  <c r="AO132" i="1"/>
  <c r="AN132" i="1"/>
  <c r="AN135" i="1"/>
  <c r="AO135" i="1"/>
  <c r="AN50" i="1"/>
  <c r="AO50" i="1"/>
  <c r="AO76" i="1"/>
  <c r="AN76" i="1"/>
  <c r="AO120" i="1"/>
  <c r="AN120" i="1"/>
  <c r="AN116" i="1"/>
  <c r="AO116" i="1"/>
  <c r="AN60" i="1"/>
  <c r="AO60" i="1"/>
  <c r="AO46" i="1"/>
  <c r="AN46" i="1"/>
  <c r="AO146" i="1"/>
  <c r="AN146" i="1"/>
  <c r="AO203" i="1"/>
  <c r="AN203" i="1"/>
  <c r="AN128" i="1"/>
  <c r="AO128" i="1"/>
  <c r="AN90" i="1"/>
  <c r="AO90" i="1"/>
  <c r="AN200" i="1"/>
  <c r="AO200" i="1"/>
  <c r="AN114" i="1"/>
  <c r="AO114" i="1"/>
  <c r="AN174" i="1"/>
  <c r="AO174" i="1"/>
  <c r="AN205" i="1"/>
  <c r="AO205" i="1"/>
  <c r="AN201" i="1"/>
  <c r="AO201" i="1"/>
  <c r="AN38" i="1"/>
  <c r="AO38" i="1"/>
  <c r="AN65" i="1"/>
  <c r="AO65" i="1"/>
  <c r="AO142" i="1"/>
  <c r="AN142" i="1"/>
  <c r="AQ105" i="1" l="1"/>
  <c r="AQ172" i="1"/>
  <c r="AQ144" i="1"/>
  <c r="AQ124" i="1"/>
  <c r="AQ38" i="1"/>
  <c r="AQ158" i="1"/>
  <c r="AQ118" i="1"/>
  <c r="AQ174" i="1"/>
  <c r="AQ90" i="1"/>
  <c r="AQ152" i="1"/>
  <c r="AQ203" i="1"/>
  <c r="AQ146" i="1"/>
  <c r="AQ101" i="1"/>
  <c r="AQ154" i="1"/>
  <c r="AQ189" i="1"/>
  <c r="AQ102" i="1"/>
  <c r="AQ156" i="1"/>
  <c r="AQ62" i="1"/>
  <c r="AQ162" i="1"/>
  <c r="AQ104" i="1"/>
  <c r="AQ130" i="1"/>
  <c r="AQ224" i="1"/>
  <c r="AQ139" i="1"/>
  <c r="AQ70" i="1"/>
  <c r="AQ233" i="1"/>
  <c r="AQ58" i="1"/>
  <c r="AQ95" i="1"/>
  <c r="AQ47" i="1"/>
  <c r="AQ84" i="1"/>
  <c r="AQ171" i="1"/>
  <c r="AQ45" i="1"/>
  <c r="AQ80" i="1"/>
  <c r="AQ79" i="1"/>
  <c r="AQ108" i="1"/>
  <c r="AQ135" i="1"/>
  <c r="AQ125" i="1"/>
  <c r="AQ73" i="1"/>
  <c r="AQ92" i="1"/>
  <c r="AQ113" i="1"/>
  <c r="AQ57" i="1"/>
  <c r="AQ193" i="1"/>
  <c r="AQ230" i="1"/>
  <c r="AQ100" i="1"/>
  <c r="AQ187" i="1"/>
  <c r="AQ188" i="1"/>
  <c r="AQ165" i="1"/>
  <c r="AQ234" i="1"/>
  <c r="AQ160" i="1"/>
  <c r="AQ231" i="1"/>
  <c r="AQ98" i="1"/>
  <c r="AQ205" i="1"/>
  <c r="AQ200" i="1"/>
  <c r="AQ46" i="1"/>
  <c r="AQ120" i="1"/>
  <c r="AQ163" i="1"/>
  <c r="AQ155" i="1"/>
  <c r="AQ228" i="1"/>
  <c r="AQ127" i="1"/>
  <c r="AQ109" i="1"/>
  <c r="AQ64" i="1"/>
  <c r="AQ198" i="1"/>
  <c r="AQ85" i="1"/>
  <c r="AQ110" i="1"/>
  <c r="AQ35" i="1"/>
  <c r="AQ52" i="1"/>
  <c r="AQ213" i="1"/>
  <c r="AQ141" i="1"/>
  <c r="AQ202" i="1"/>
  <c r="AQ44" i="1"/>
  <c r="AQ72" i="1"/>
  <c r="AQ217" i="1"/>
  <c r="AQ207" i="1"/>
  <c r="AQ107" i="1"/>
  <c r="AQ117" i="1"/>
  <c r="AQ212" i="1"/>
  <c r="AQ225" i="1"/>
  <c r="AQ99" i="1"/>
  <c r="AQ164" i="1"/>
  <c r="AQ161" i="1"/>
  <c r="AQ180" i="1"/>
  <c r="AQ179" i="1"/>
  <c r="AQ216" i="1"/>
  <c r="AQ94" i="1"/>
  <c r="AQ71" i="1"/>
  <c r="AQ115" i="1"/>
  <c r="AQ220" i="1"/>
  <c r="AQ221" i="1"/>
  <c r="AQ175" i="1"/>
  <c r="AQ53" i="1"/>
  <c r="AQ126" i="1"/>
  <c r="AQ138" i="1"/>
  <c r="AQ83" i="1"/>
  <c r="AQ82" i="1"/>
  <c r="AQ215" i="1"/>
  <c r="AQ150" i="1"/>
  <c r="AQ184" i="1"/>
  <c r="AQ49" i="1"/>
  <c r="AQ112" i="1"/>
  <c r="J22" i="1"/>
  <c r="AQ134" i="1"/>
  <c r="AQ86" i="1"/>
  <c r="AQ197" i="1"/>
  <c r="AQ122" i="1"/>
  <c r="AQ153" i="1"/>
  <c r="AQ61" i="1"/>
  <c r="AQ129" i="1"/>
  <c r="AQ166" i="1"/>
  <c r="AQ157" i="1"/>
  <c r="AQ128" i="1"/>
  <c r="AQ60" i="1"/>
  <c r="AQ147" i="1"/>
  <c r="AQ37" i="1"/>
  <c r="AQ209" i="1"/>
  <c r="AQ226" i="1"/>
  <c r="AQ48" i="1"/>
  <c r="AQ192" i="1"/>
  <c r="AQ219" i="1"/>
  <c r="AQ211" i="1"/>
  <c r="AQ145" i="1"/>
  <c r="AQ123" i="1"/>
  <c r="AQ66" i="1"/>
  <c r="AQ223" i="1"/>
  <c r="AQ183" i="1"/>
  <c r="AQ39" i="1"/>
  <c r="AQ97" i="1"/>
  <c r="AQ185" i="1"/>
  <c r="AQ182" i="1"/>
  <c r="AQ136" i="1"/>
  <c r="AQ190" i="1"/>
  <c r="AQ181" i="1"/>
  <c r="AQ54" i="1"/>
  <c r="AQ131" i="1"/>
  <c r="AQ51" i="1"/>
  <c r="AQ81" i="1"/>
  <c r="AQ168" i="1"/>
  <c r="AQ218" i="1"/>
  <c r="AQ36" i="1"/>
  <c r="AQ169" i="1"/>
  <c r="AQ186" i="1"/>
  <c r="AQ74" i="1"/>
  <c r="AQ67" i="1"/>
  <c r="AQ199" i="1"/>
  <c r="AQ43" i="1"/>
  <c r="AQ142" i="1"/>
  <c r="AQ65" i="1"/>
  <c r="AQ76" i="1"/>
  <c r="AQ59" i="1"/>
  <c r="AQ77" i="1"/>
  <c r="AQ87" i="1"/>
  <c r="AQ191" i="1"/>
  <c r="AQ149" i="1"/>
  <c r="AQ196" i="1"/>
  <c r="AQ194" i="1"/>
  <c r="AQ133" i="1"/>
  <c r="AQ40" i="1"/>
  <c r="AQ206" i="1"/>
  <c r="AQ159" i="1"/>
  <c r="AQ208" i="1"/>
  <c r="AQ178" i="1"/>
  <c r="AQ195" i="1"/>
  <c r="AQ151" i="1"/>
  <c r="AQ140" i="1"/>
  <c r="AQ89" i="1"/>
  <c r="AQ173" i="1"/>
  <c r="AQ96" i="1"/>
  <c r="AQ56" i="1"/>
  <c r="AQ121" i="1"/>
  <c r="AQ176" i="1"/>
  <c r="AQ78" i="1"/>
  <c r="AQ232" i="1"/>
  <c r="AQ201" i="1"/>
  <c r="AQ132" i="1"/>
  <c r="AQ114" i="1"/>
  <c r="AQ116" i="1"/>
  <c r="AQ50" i="1"/>
  <c r="AQ68" i="1"/>
  <c r="AQ148" i="1"/>
  <c r="AQ111" i="1"/>
  <c r="AQ229" i="1"/>
  <c r="AQ137" i="1"/>
  <c r="AQ55" i="1"/>
  <c r="AQ227" i="1"/>
  <c r="AQ93" i="1"/>
  <c r="AQ103" i="1"/>
  <c r="AQ63" i="1"/>
  <c r="AQ204" i="1"/>
  <c r="AQ143" i="1"/>
  <c r="AQ214" i="1"/>
  <c r="AQ119" i="1"/>
  <c r="AQ170" i="1"/>
  <c r="AQ42" i="1"/>
  <c r="AQ210" i="1"/>
  <c r="AQ222" i="1"/>
  <c r="AQ167" i="1"/>
  <c r="AQ91" i="1"/>
  <c r="AQ69" i="1"/>
  <c r="AQ177" i="1"/>
  <c r="AQ106" i="1"/>
  <c r="AQ41" i="1"/>
  <c r="AQ88" i="1"/>
  <c r="AQ75" i="1"/>
  <c r="J24" i="1" l="1"/>
</calcChain>
</file>

<file path=xl/sharedStrings.xml><?xml version="1.0" encoding="utf-8"?>
<sst xmlns="http://schemas.openxmlformats.org/spreadsheetml/2006/main" count="98" uniqueCount="95">
  <si>
    <t>Mult.Factor</t>
  </si>
  <si>
    <t>k (eV/K)</t>
  </si>
  <si>
    <t>Tm (K)</t>
  </si>
  <si>
    <t>Im</t>
  </si>
  <si>
    <t>Tm</t>
  </si>
  <si>
    <t>E</t>
  </si>
  <si>
    <t>R</t>
  </si>
  <si>
    <t>Sum</t>
  </si>
  <si>
    <t>Least squares</t>
  </si>
  <si>
    <t>Fom(%)</t>
  </si>
  <si>
    <r>
      <t>T (</t>
    </r>
    <r>
      <rPr>
        <b/>
        <vertAlign val="superscript"/>
        <sz val="11"/>
        <color theme="1"/>
        <rFont val="Calibri"/>
        <family val="2"/>
        <charset val="161"/>
        <scheme val="minor"/>
      </rPr>
      <t>o</t>
    </r>
    <r>
      <rPr>
        <b/>
        <sz val="11"/>
        <color theme="1"/>
        <rFont val="Calibri"/>
        <family val="2"/>
        <charset val="161"/>
        <scheme val="minor"/>
      </rPr>
      <t>C)</t>
    </r>
  </si>
  <si>
    <t>I(t)</t>
  </si>
  <si>
    <t>T(K)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</si>
  <si>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</si>
  <si>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</si>
  <si>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</si>
  <si>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</si>
  <si>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</si>
  <si>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</si>
  <si>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</si>
  <si>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</si>
  <si>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</si>
  <si>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</si>
  <si>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</si>
  <si>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</si>
  <si>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</si>
  <si>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</si>
  <si>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</si>
  <si>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</si>
  <si>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</si>
  <si>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</si>
  <si>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</si>
  <si>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</si>
  <si>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E (eV)</t>
  </si>
  <si>
    <t>F(Tm,E)</t>
  </si>
  <si>
    <t>T (K)</t>
  </si>
  <si>
    <t>F1(T,E)</t>
  </si>
  <si>
    <t>F2(T,E)</t>
  </si>
  <si>
    <t>F3(T,E)</t>
  </si>
  <si>
    <t>F4(T,E)</t>
  </si>
  <si>
    <t>F5(T,E)</t>
  </si>
  <si>
    <t>F6(T,E)</t>
  </si>
  <si>
    <t>F7(T,E)</t>
  </si>
  <si>
    <t>F8(T,E)</t>
  </si>
  <si>
    <t>F9(T,E)</t>
  </si>
  <si>
    <t>F10(T,E)</t>
  </si>
  <si>
    <t>z1m</t>
  </si>
  <si>
    <t>z2m</t>
  </si>
  <si>
    <t>z3m</t>
  </si>
  <si>
    <t>z4m</t>
  </si>
  <si>
    <t>z5m</t>
  </si>
  <si>
    <t>z6m</t>
  </si>
  <si>
    <t>z7m</t>
  </si>
  <si>
    <t>z8m</t>
  </si>
  <si>
    <t>z9m</t>
  </si>
  <si>
    <t>z10m</t>
  </si>
  <si>
    <t>W(e^z1m)</t>
  </si>
  <si>
    <t>W(e^z2m)</t>
  </si>
  <si>
    <t>W(e^z3m)</t>
  </si>
  <si>
    <t>W(e^z4m)</t>
  </si>
  <si>
    <t>W(e^z5m)</t>
  </si>
  <si>
    <t>W(e^z6m)</t>
  </si>
  <si>
    <t>W(e^z7m)</t>
  </si>
  <si>
    <t>W(e^z8m)</t>
  </si>
  <si>
    <t>W(e^z9m)</t>
  </si>
  <si>
    <t>W(e^z10m)</t>
  </si>
  <si>
    <t>W(e^z1)</t>
  </si>
  <si>
    <t>W(e^z2)</t>
  </si>
  <si>
    <t>W(e^z3)</t>
  </si>
  <si>
    <t>W(e^z4)</t>
  </si>
  <si>
    <t>W(e^z5)</t>
  </si>
  <si>
    <t>W(e^z6)</t>
  </si>
  <si>
    <t>W(e^z7)</t>
  </si>
  <si>
    <t>W(e^z8)</t>
  </si>
  <si>
    <t>W(e^z9)</t>
  </si>
  <si>
    <t>W(e^z10)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</si>
  <si>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</si>
  <si>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</si>
  <si>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</si>
  <si>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</si>
  <si>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</si>
  <si>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</si>
  <si>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</si>
  <si>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</si>
  <si>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</si>
  <si>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</si>
  <si>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Itot</t>
  </si>
  <si>
    <t>(EXPER. - THEOR.)^2</t>
  </si>
  <si>
    <t>ABS(EXPER. - THEOR.)</t>
  </si>
  <si>
    <t>Afit</t>
  </si>
  <si>
    <t>FOM</t>
  </si>
  <si>
    <t>Theoretical</t>
  </si>
  <si>
    <t>Experimental</t>
  </si>
  <si>
    <t>peaks</t>
  </si>
  <si>
    <t>Contribution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</si>
</sst>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E+00"/>
  </numFmts>
  <fonts count="4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b/>
      <vertAlign val="superscript"/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/>
    <xf numFmtId="16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NumberFormat="1" applyFill="1"/>
    <xf numFmtId="0" fontId="0" fillId="3" borderId="0" xfId="0" applyFill="1"/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0" borderId="0" xfId="0" applyFont="1" applyAlignment="1">
      <alignment horizontal="right"/>
    </xf>
    <xf numFmtId="0" fontId="1" fillId="4" borderId="0" xfId="0" applyFont="1" applyFill="1" applyAlignment="1">
      <alignment horizontal="center"/>
    </xf>
    <xf numFmtId="0" fontId="0" fillId="0" borderId="0" xfId="0"/>
    <xf numFmtId="0" fontId="1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/>
    <xf numFmtId="0" fontId="0" fillId="3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7" borderId="0" xfId="0" applyFont="1" applyFill="1" applyAlignment="1">
      <alignment horizontal="center"/>
    </xf>
    <xf numFmtId="0" fontId="0" fillId="8" borderId="0" xfId="0" applyFill="1"/>
    <xf numFmtId="0" fontId="1" fillId="9" borderId="0" xfId="0" applyFont="1" applyFill="1" applyAlignment="1">
      <alignment horizontal="center"/>
    </xf>
    <xf numFmtId="0" fontId="1" fillId="0" borderId="0" xfId="0" applyFont="1"/>
    <xf numFmtId="0" fontId="0" fillId="10" borderId="0" xfId="0" applyFill="1"/>
    <xf numFmtId="0" fontId="1" fillId="10" borderId="0" xfId="0" applyFont="1" applyFill="1" applyAlignment="1">
      <alignment horizontal="center"/>
    </xf>
    <xf numFmtId="0" fontId="0" fillId="11" borderId="0" xfId="0" applyFill="1"/>
    <xf numFmtId="0" fontId="0" fillId="0" borderId="0" xfId="0" applyAlignment="1">
      <alignment horizontal="center"/>
    </xf>
    <xf numFmtId="0" fontId="0" fillId="8" borderId="1" xfId="0" applyFill="1" applyBorder="1" applyAlignment="1">
      <alignment horizontal="center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TL Data</a:t>
            </a:r>
            <a:endParaRPr lang="el-GR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TL!$C$32</c:f>
              <c:strCache>
                <c:ptCount val="1"/>
                <c:pt idx="0">
                  <c:v>Experimental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TL!$C$35:$C$384</c:f>
              <c:numCache>
                <c:formatCode>General</c:formatCode>
                <c:ptCount val="350"/>
                <c:pt idx="0">
                  <c:v>3600</c:v>
                </c:pt>
                <c:pt idx="1">
                  <c:v>6502</c:v>
                </c:pt>
                <c:pt idx="2">
                  <c:v>9346</c:v>
                </c:pt>
                <c:pt idx="3">
                  <c:v>11780</c:v>
                </c:pt>
                <c:pt idx="4">
                  <c:v>13538</c:v>
                </c:pt>
                <c:pt idx="5">
                  <c:v>14804</c:v>
                </c:pt>
                <c:pt idx="6">
                  <c:v>15834</c:v>
                </c:pt>
                <c:pt idx="7">
                  <c:v>16692</c:v>
                </c:pt>
                <c:pt idx="8">
                  <c:v>17329</c:v>
                </c:pt>
                <c:pt idx="9">
                  <c:v>17987</c:v>
                </c:pt>
                <c:pt idx="10">
                  <c:v>17798</c:v>
                </c:pt>
                <c:pt idx="11">
                  <c:v>17408</c:v>
                </c:pt>
                <c:pt idx="12">
                  <c:v>16522</c:v>
                </c:pt>
                <c:pt idx="13">
                  <c:v>15144</c:v>
                </c:pt>
                <c:pt idx="14">
                  <c:v>13671</c:v>
                </c:pt>
                <c:pt idx="15">
                  <c:v>11888</c:v>
                </c:pt>
                <c:pt idx="16">
                  <c:v>10089</c:v>
                </c:pt>
                <c:pt idx="17">
                  <c:v>8598</c:v>
                </c:pt>
                <c:pt idx="18">
                  <c:v>7340</c:v>
                </c:pt>
                <c:pt idx="19">
                  <c:v>6480</c:v>
                </c:pt>
                <c:pt idx="20">
                  <c:v>5894</c:v>
                </c:pt>
                <c:pt idx="21">
                  <c:v>5764</c:v>
                </c:pt>
                <c:pt idx="22">
                  <c:v>6004</c:v>
                </c:pt>
                <c:pt idx="23">
                  <c:v>6384</c:v>
                </c:pt>
                <c:pt idx="24">
                  <c:v>7070</c:v>
                </c:pt>
                <c:pt idx="25">
                  <c:v>7920</c:v>
                </c:pt>
                <c:pt idx="26">
                  <c:v>9090</c:v>
                </c:pt>
                <c:pt idx="27">
                  <c:v>10392</c:v>
                </c:pt>
                <c:pt idx="28">
                  <c:v>11978</c:v>
                </c:pt>
                <c:pt idx="29">
                  <c:v>13642</c:v>
                </c:pt>
                <c:pt idx="30">
                  <c:v>15786</c:v>
                </c:pt>
                <c:pt idx="31">
                  <c:v>18110</c:v>
                </c:pt>
                <c:pt idx="32">
                  <c:v>20556</c:v>
                </c:pt>
                <c:pt idx="33">
                  <c:v>23678</c:v>
                </c:pt>
                <c:pt idx="34">
                  <c:v>26882</c:v>
                </c:pt>
                <c:pt idx="35">
                  <c:v>30626</c:v>
                </c:pt>
                <c:pt idx="36">
                  <c:v>34492</c:v>
                </c:pt>
                <c:pt idx="37">
                  <c:v>38740</c:v>
                </c:pt>
                <c:pt idx="38">
                  <c:v>43192</c:v>
                </c:pt>
                <c:pt idx="39">
                  <c:v>47785</c:v>
                </c:pt>
                <c:pt idx="40">
                  <c:v>52441</c:v>
                </c:pt>
                <c:pt idx="41">
                  <c:v>57072</c:v>
                </c:pt>
                <c:pt idx="42">
                  <c:v>61342</c:v>
                </c:pt>
                <c:pt idx="43">
                  <c:v>65032</c:v>
                </c:pt>
                <c:pt idx="44">
                  <c:v>67970</c:v>
                </c:pt>
                <c:pt idx="45">
                  <c:v>70016</c:v>
                </c:pt>
                <c:pt idx="46">
                  <c:v>70444</c:v>
                </c:pt>
                <c:pt idx="47">
                  <c:v>69592</c:v>
                </c:pt>
                <c:pt idx="48">
                  <c:v>67006</c:v>
                </c:pt>
                <c:pt idx="49">
                  <c:v>63174</c:v>
                </c:pt>
                <c:pt idx="50">
                  <c:v>58100</c:v>
                </c:pt>
                <c:pt idx="51">
                  <c:v>52018</c:v>
                </c:pt>
                <c:pt idx="52">
                  <c:v>45972</c:v>
                </c:pt>
                <c:pt idx="53">
                  <c:v>40386</c:v>
                </c:pt>
                <c:pt idx="54">
                  <c:v>35320</c:v>
                </c:pt>
                <c:pt idx="55">
                  <c:v>31830</c:v>
                </c:pt>
                <c:pt idx="56">
                  <c:v>29832</c:v>
                </c:pt>
                <c:pt idx="57">
                  <c:v>29610</c:v>
                </c:pt>
                <c:pt idx="58">
                  <c:v>30356</c:v>
                </c:pt>
                <c:pt idx="59">
                  <c:v>31860</c:v>
                </c:pt>
                <c:pt idx="60">
                  <c:v>34722</c:v>
                </c:pt>
                <c:pt idx="61">
                  <c:v>37854</c:v>
                </c:pt>
                <c:pt idx="62">
                  <c:v>41342</c:v>
                </c:pt>
                <c:pt idx="63">
                  <c:v>45266</c:v>
                </c:pt>
                <c:pt idx="64">
                  <c:v>49372</c:v>
                </c:pt>
                <c:pt idx="65">
                  <c:v>53470</c:v>
                </c:pt>
                <c:pt idx="66">
                  <c:v>57650</c:v>
                </c:pt>
                <c:pt idx="67">
                  <c:v>61538</c:v>
                </c:pt>
                <c:pt idx="68">
                  <c:v>66004</c:v>
                </c:pt>
                <c:pt idx="69">
                  <c:v>69352</c:v>
                </c:pt>
                <c:pt idx="70">
                  <c:v>71547</c:v>
                </c:pt>
                <c:pt idx="71">
                  <c:v>72845</c:v>
                </c:pt>
                <c:pt idx="72">
                  <c:v>74390</c:v>
                </c:pt>
                <c:pt idx="73">
                  <c:v>74310</c:v>
                </c:pt>
                <c:pt idx="74">
                  <c:v>73095</c:v>
                </c:pt>
                <c:pt idx="75">
                  <c:v>71103</c:v>
                </c:pt>
                <c:pt idx="76">
                  <c:v>68707</c:v>
                </c:pt>
                <c:pt idx="77">
                  <c:v>65365</c:v>
                </c:pt>
                <c:pt idx="78">
                  <c:v>62496</c:v>
                </c:pt>
                <c:pt idx="79">
                  <c:v>59440</c:v>
                </c:pt>
                <c:pt idx="80">
                  <c:v>58180</c:v>
                </c:pt>
                <c:pt idx="81">
                  <c:v>57472</c:v>
                </c:pt>
                <c:pt idx="82">
                  <c:v>58022</c:v>
                </c:pt>
                <c:pt idx="83">
                  <c:v>59266</c:v>
                </c:pt>
                <c:pt idx="84">
                  <c:v>61440</c:v>
                </c:pt>
                <c:pt idx="85">
                  <c:v>64219</c:v>
                </c:pt>
                <c:pt idx="86">
                  <c:v>67355</c:v>
                </c:pt>
                <c:pt idx="87">
                  <c:v>71682</c:v>
                </c:pt>
                <c:pt idx="88">
                  <c:v>76056</c:v>
                </c:pt>
                <c:pt idx="89">
                  <c:v>80880</c:v>
                </c:pt>
                <c:pt idx="90">
                  <c:v>85404</c:v>
                </c:pt>
                <c:pt idx="91">
                  <c:v>90470</c:v>
                </c:pt>
                <c:pt idx="92">
                  <c:v>95576</c:v>
                </c:pt>
                <c:pt idx="93">
                  <c:v>99586</c:v>
                </c:pt>
                <c:pt idx="94">
                  <c:v>103558</c:v>
                </c:pt>
                <c:pt idx="95">
                  <c:v>106098</c:v>
                </c:pt>
                <c:pt idx="96">
                  <c:v>108294</c:v>
                </c:pt>
                <c:pt idx="97">
                  <c:v>110660</c:v>
                </c:pt>
                <c:pt idx="98">
                  <c:v>112630</c:v>
                </c:pt>
                <c:pt idx="99">
                  <c:v>114828</c:v>
                </c:pt>
                <c:pt idx="100">
                  <c:v>117890</c:v>
                </c:pt>
                <c:pt idx="101">
                  <c:v>122054</c:v>
                </c:pt>
                <c:pt idx="102">
                  <c:v>128716</c:v>
                </c:pt>
                <c:pt idx="103">
                  <c:v>137152</c:v>
                </c:pt>
                <c:pt idx="104">
                  <c:v>146526</c:v>
                </c:pt>
                <c:pt idx="105">
                  <c:v>155500</c:v>
                </c:pt>
                <c:pt idx="106">
                  <c:v>167604</c:v>
                </c:pt>
                <c:pt idx="107">
                  <c:v>178652</c:v>
                </c:pt>
                <c:pt idx="108">
                  <c:v>188239</c:v>
                </c:pt>
                <c:pt idx="109">
                  <c:v>193439</c:v>
                </c:pt>
                <c:pt idx="110">
                  <c:v>193510</c:v>
                </c:pt>
                <c:pt idx="111">
                  <c:v>188034</c:v>
                </c:pt>
                <c:pt idx="112">
                  <c:v>177556</c:v>
                </c:pt>
                <c:pt idx="113">
                  <c:v>162813</c:v>
                </c:pt>
                <c:pt idx="114">
                  <c:v>144111</c:v>
                </c:pt>
                <c:pt idx="115">
                  <c:v>122662</c:v>
                </c:pt>
                <c:pt idx="116">
                  <c:v>99304</c:v>
                </c:pt>
                <c:pt idx="117">
                  <c:v>76150</c:v>
                </c:pt>
                <c:pt idx="118">
                  <c:v>55754</c:v>
                </c:pt>
                <c:pt idx="119">
                  <c:v>38540</c:v>
                </c:pt>
                <c:pt idx="120">
                  <c:v>25206</c:v>
                </c:pt>
                <c:pt idx="121">
                  <c:v>15966</c:v>
                </c:pt>
                <c:pt idx="122">
                  <c:v>10318</c:v>
                </c:pt>
                <c:pt idx="123">
                  <c:v>6960</c:v>
                </c:pt>
                <c:pt idx="124">
                  <c:v>5302</c:v>
                </c:pt>
                <c:pt idx="125">
                  <c:v>4372</c:v>
                </c:pt>
                <c:pt idx="126">
                  <c:v>3910</c:v>
                </c:pt>
                <c:pt idx="127">
                  <c:v>3680</c:v>
                </c:pt>
                <c:pt idx="128">
                  <c:v>3456</c:v>
                </c:pt>
                <c:pt idx="129">
                  <c:v>3334</c:v>
                </c:pt>
                <c:pt idx="130">
                  <c:v>3218</c:v>
                </c:pt>
                <c:pt idx="131">
                  <c:v>3196</c:v>
                </c:pt>
                <c:pt idx="132">
                  <c:v>3224</c:v>
                </c:pt>
                <c:pt idx="133">
                  <c:v>3268</c:v>
                </c:pt>
                <c:pt idx="134">
                  <c:v>3376</c:v>
                </c:pt>
                <c:pt idx="135">
                  <c:v>3518</c:v>
                </c:pt>
                <c:pt idx="136">
                  <c:v>3658</c:v>
                </c:pt>
                <c:pt idx="137">
                  <c:v>3814</c:v>
                </c:pt>
                <c:pt idx="138">
                  <c:v>3972</c:v>
                </c:pt>
                <c:pt idx="139">
                  <c:v>4162</c:v>
                </c:pt>
                <c:pt idx="140">
                  <c:v>4318</c:v>
                </c:pt>
                <c:pt idx="141">
                  <c:v>4474</c:v>
                </c:pt>
                <c:pt idx="142">
                  <c:v>4530</c:v>
                </c:pt>
                <c:pt idx="143">
                  <c:v>4704</c:v>
                </c:pt>
                <c:pt idx="144">
                  <c:v>4842</c:v>
                </c:pt>
                <c:pt idx="145">
                  <c:v>5054</c:v>
                </c:pt>
                <c:pt idx="146">
                  <c:v>5106</c:v>
                </c:pt>
                <c:pt idx="147">
                  <c:v>5210</c:v>
                </c:pt>
                <c:pt idx="148">
                  <c:v>5230</c:v>
                </c:pt>
                <c:pt idx="149">
                  <c:v>5328</c:v>
                </c:pt>
                <c:pt idx="150">
                  <c:v>5370</c:v>
                </c:pt>
                <c:pt idx="151">
                  <c:v>5282</c:v>
                </c:pt>
                <c:pt idx="152">
                  <c:v>5216</c:v>
                </c:pt>
                <c:pt idx="153">
                  <c:v>5204</c:v>
                </c:pt>
                <c:pt idx="154">
                  <c:v>5098</c:v>
                </c:pt>
                <c:pt idx="155">
                  <c:v>4862</c:v>
                </c:pt>
                <c:pt idx="156">
                  <c:v>4788</c:v>
                </c:pt>
                <c:pt idx="157">
                  <c:v>4580</c:v>
                </c:pt>
                <c:pt idx="158">
                  <c:v>4456</c:v>
                </c:pt>
                <c:pt idx="159">
                  <c:v>4254</c:v>
                </c:pt>
                <c:pt idx="160">
                  <c:v>3948</c:v>
                </c:pt>
                <c:pt idx="161">
                  <c:v>3702</c:v>
                </c:pt>
                <c:pt idx="162">
                  <c:v>3434</c:v>
                </c:pt>
                <c:pt idx="163">
                  <c:v>3260</c:v>
                </c:pt>
                <c:pt idx="164">
                  <c:v>3100</c:v>
                </c:pt>
                <c:pt idx="165">
                  <c:v>2878</c:v>
                </c:pt>
                <c:pt idx="166">
                  <c:v>2726</c:v>
                </c:pt>
                <c:pt idx="167">
                  <c:v>2544</c:v>
                </c:pt>
                <c:pt idx="168">
                  <c:v>2428</c:v>
                </c:pt>
                <c:pt idx="169">
                  <c:v>2308</c:v>
                </c:pt>
                <c:pt idx="170">
                  <c:v>2304</c:v>
                </c:pt>
                <c:pt idx="171">
                  <c:v>2198</c:v>
                </c:pt>
                <c:pt idx="172">
                  <c:v>2152</c:v>
                </c:pt>
                <c:pt idx="173">
                  <c:v>2148</c:v>
                </c:pt>
                <c:pt idx="174">
                  <c:v>2152</c:v>
                </c:pt>
                <c:pt idx="175">
                  <c:v>2234</c:v>
                </c:pt>
                <c:pt idx="176">
                  <c:v>2240</c:v>
                </c:pt>
                <c:pt idx="177">
                  <c:v>2288</c:v>
                </c:pt>
                <c:pt idx="178">
                  <c:v>2358</c:v>
                </c:pt>
                <c:pt idx="179">
                  <c:v>2400</c:v>
                </c:pt>
                <c:pt idx="180">
                  <c:v>2458</c:v>
                </c:pt>
                <c:pt idx="181">
                  <c:v>2498</c:v>
                </c:pt>
                <c:pt idx="182">
                  <c:v>2424</c:v>
                </c:pt>
                <c:pt idx="183">
                  <c:v>2454</c:v>
                </c:pt>
                <c:pt idx="184">
                  <c:v>2446</c:v>
                </c:pt>
                <c:pt idx="185">
                  <c:v>2410</c:v>
                </c:pt>
                <c:pt idx="186">
                  <c:v>2270</c:v>
                </c:pt>
                <c:pt idx="187">
                  <c:v>2164</c:v>
                </c:pt>
                <c:pt idx="188">
                  <c:v>2046</c:v>
                </c:pt>
                <c:pt idx="189">
                  <c:v>1866</c:v>
                </c:pt>
                <c:pt idx="190">
                  <c:v>1708</c:v>
                </c:pt>
                <c:pt idx="191">
                  <c:v>1538</c:v>
                </c:pt>
                <c:pt idx="192">
                  <c:v>1362</c:v>
                </c:pt>
                <c:pt idx="193">
                  <c:v>1228</c:v>
                </c:pt>
                <c:pt idx="194">
                  <c:v>1031</c:v>
                </c:pt>
                <c:pt idx="195">
                  <c:v>955</c:v>
                </c:pt>
                <c:pt idx="196">
                  <c:v>802</c:v>
                </c:pt>
                <c:pt idx="197">
                  <c:v>683</c:v>
                </c:pt>
                <c:pt idx="198">
                  <c:v>661</c:v>
                </c:pt>
                <c:pt idx="199">
                  <c:v>560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A-4A43-97FD-E7B1AD4F0C19}"/>
            </c:ext>
          </c:extLst>
        </c:ser>
        <c:ser>
          <c:idx val="1"/>
          <c:order val="1"/>
          <c:tx>
            <c:strRef>
              <c:f>TL!$AL$32</c:f>
              <c:strCache>
                <c:ptCount val="1"/>
                <c:pt idx="0">
                  <c:v>Theoretical</c:v>
                </c:pt>
              </c:strCache>
            </c:strRef>
          </c:tx>
          <c:spPr>
            <a:ln w="1905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TL!$AL$35:$AL$384</c:f>
              <c:numCache>
                <c:formatCode>General</c:formatCode>
                <c:ptCount val="350"/>
                <c:pt idx="0">
                  <c:v>8811.293684849501</c:v>
                </c:pt>
                <c:pt idx="1">
                  <c:v>9564.3035613119209</c:v>
                </c:pt>
                <c:pt idx="2">
                  <c:v>10346.581786576236</c:v>
                </c:pt>
                <c:pt idx="3">
                  <c:v>11971.843696570188</c:v>
                </c:pt>
                <c:pt idx="4">
                  <c:v>13614.013990025014</c:v>
                </c:pt>
                <c:pt idx="5">
                  <c:v>14409.728083253707</c:v>
                </c:pt>
                <c:pt idx="6">
                  <c:v>15868.921016829867</c:v>
                </c:pt>
                <c:pt idx="7">
                  <c:v>16494.396661106024</c:v>
                </c:pt>
                <c:pt idx="8">
                  <c:v>17023.056481410447</c:v>
                </c:pt>
                <c:pt idx="9">
                  <c:v>17706.180547446304</c:v>
                </c:pt>
                <c:pt idx="10">
                  <c:v>17764.715732497723</c:v>
                </c:pt>
                <c:pt idx="11">
                  <c:v>17524.812995643046</c:v>
                </c:pt>
                <c:pt idx="12">
                  <c:v>16485.87214147922</c:v>
                </c:pt>
                <c:pt idx="13">
                  <c:v>15702.0266841585</c:v>
                </c:pt>
                <c:pt idx="14">
                  <c:v>13712.680397815266</c:v>
                </c:pt>
                <c:pt idx="15">
                  <c:v>12577.341836926542</c:v>
                </c:pt>
                <c:pt idx="16">
                  <c:v>10251.938681317135</c:v>
                </c:pt>
                <c:pt idx="17">
                  <c:v>9160.7187238947299</c:v>
                </c:pt>
                <c:pt idx="18">
                  <c:v>7340.6961892284826</c:v>
                </c:pt>
                <c:pt idx="19">
                  <c:v>6672.0444404850978</c:v>
                </c:pt>
                <c:pt idx="20">
                  <c:v>5875.0108857080595</c:v>
                </c:pt>
                <c:pt idx="21">
                  <c:v>5737.1002262475522</c:v>
                </c:pt>
                <c:pt idx="22">
                  <c:v>5756.0180034347368</c:v>
                </c:pt>
                <c:pt idx="23">
                  <c:v>6205.2590720489907</c:v>
                </c:pt>
                <c:pt idx="24">
                  <c:v>7125.4063306614489</c:v>
                </c:pt>
                <c:pt idx="25">
                  <c:v>7744.4360995913121</c:v>
                </c:pt>
                <c:pt idx="26">
                  <c:v>9290.039731588784</c:v>
                </c:pt>
                <c:pt idx="27">
                  <c:v>10218.932746635144</c:v>
                </c:pt>
                <c:pt idx="28">
                  <c:v>12405.606580179483</c:v>
                </c:pt>
                <c:pt idx="29">
                  <c:v>13672.900667279402</c:v>
                </c:pt>
                <c:pt idx="30">
                  <c:v>15063.356156784897</c:v>
                </c:pt>
                <c:pt idx="31">
                  <c:v>18235.989374390108</c:v>
                </c:pt>
                <c:pt idx="32">
                  <c:v>21964.411604558045</c:v>
                </c:pt>
                <c:pt idx="33">
                  <c:v>24046.541114579442</c:v>
                </c:pt>
                <c:pt idx="34">
                  <c:v>28653.093767400183</c:v>
                </c:pt>
                <c:pt idx="35">
                  <c:v>31173.620214376049</c:v>
                </c:pt>
                <c:pt idx="36">
                  <c:v>33831.552588954204</c:v>
                </c:pt>
                <c:pt idx="37">
                  <c:v>39515.005619197836</c:v>
                </c:pt>
                <c:pt idx="38">
                  <c:v>42506.716723853475</c:v>
                </c:pt>
                <c:pt idx="39">
                  <c:v>48664.674689509462</c:v>
                </c:pt>
                <c:pt idx="40">
                  <c:v>51762.146896598315</c:v>
                </c:pt>
                <c:pt idx="41">
                  <c:v>57771.664521193736</c:v>
                </c:pt>
                <c:pt idx="42">
                  <c:v>63160.277032155696</c:v>
                </c:pt>
                <c:pt idx="43">
                  <c:v>65460.650061545944</c:v>
                </c:pt>
                <c:pt idx="44">
                  <c:v>67405.18312712865</c:v>
                </c:pt>
                <c:pt idx="45">
                  <c:v>69947.331045315892</c:v>
                </c:pt>
                <c:pt idx="46">
                  <c:v>70282.678157230344</c:v>
                </c:pt>
                <c:pt idx="47">
                  <c:v>69511.457473338422</c:v>
                </c:pt>
                <c:pt idx="48">
                  <c:v>66032.756852583567</c:v>
                </c:pt>
                <c:pt idx="49">
                  <c:v>63378.540676519144</c:v>
                </c:pt>
                <c:pt idx="50">
                  <c:v>60199.197638081525</c:v>
                </c:pt>
                <c:pt idx="51">
                  <c:v>52698.904262768163</c:v>
                </c:pt>
                <c:pt idx="52">
                  <c:v>48659.256823518102</c:v>
                </c:pt>
                <c:pt idx="53">
                  <c:v>40824.737200848678</c:v>
                </c:pt>
                <c:pt idx="54">
                  <c:v>34410.717124058581</c:v>
                </c:pt>
                <c:pt idx="55">
                  <c:v>32073.017396702518</c:v>
                </c:pt>
                <c:pt idx="56">
                  <c:v>29483.321707691284</c:v>
                </c:pt>
                <c:pt idx="57">
                  <c:v>29229.472560862509</c:v>
                </c:pt>
                <c:pt idx="58">
                  <c:v>30505.307542942828</c:v>
                </c:pt>
                <c:pt idx="59">
                  <c:v>31858.03545717544</c:v>
                </c:pt>
                <c:pt idx="60">
                  <c:v>35576.968825288517</c:v>
                </c:pt>
                <c:pt idx="61">
                  <c:v>37814.309830631792</c:v>
                </c:pt>
                <c:pt idx="62">
                  <c:v>42809.970353582634</c:v>
                </c:pt>
                <c:pt idx="63">
                  <c:v>45495.858568198266</c:v>
                </c:pt>
                <c:pt idx="64">
                  <c:v>48263.655359050783</c:v>
                </c:pt>
                <c:pt idx="65">
                  <c:v>53914.358333387834</c:v>
                </c:pt>
                <c:pt idx="66">
                  <c:v>56727.352057717391</c:v>
                </c:pt>
                <c:pt idx="67">
                  <c:v>62133.964897561913</c:v>
                </c:pt>
                <c:pt idx="68">
                  <c:v>66957.685082325057</c:v>
                </c:pt>
                <c:pt idx="69">
                  <c:v>69035.453690649898</c:v>
                </c:pt>
                <c:pt idx="70">
                  <c:v>72292.693783133203</c:v>
                </c:pt>
                <c:pt idx="71">
                  <c:v>73388.685087296792</c:v>
                </c:pt>
                <c:pt idx="72">
                  <c:v>74083.893470605588</c:v>
                </c:pt>
                <c:pt idx="73">
                  <c:v>74192.39308927134</c:v>
                </c:pt>
                <c:pt idx="74">
                  <c:v>72596.918546684668</c:v>
                </c:pt>
                <c:pt idx="75">
                  <c:v>71225.590885554193</c:v>
                </c:pt>
                <c:pt idx="76">
                  <c:v>67631.638007149071</c:v>
                </c:pt>
                <c:pt idx="77">
                  <c:v>65581.891527178988</c:v>
                </c:pt>
                <c:pt idx="78">
                  <c:v>61510.173022939809</c:v>
                </c:pt>
                <c:pt idx="79">
                  <c:v>59719.302387936477</c:v>
                </c:pt>
                <c:pt idx="80">
                  <c:v>57163.082030336962</c:v>
                </c:pt>
                <c:pt idx="81">
                  <c:v>56563.668659026065</c:v>
                </c:pt>
                <c:pt idx="82">
                  <c:v>56952.946505141401</c:v>
                </c:pt>
                <c:pt idx="83">
                  <c:v>57954.754641428066</c:v>
                </c:pt>
                <c:pt idx="84">
                  <c:v>61440.009967229271</c:v>
                </c:pt>
                <c:pt idx="85">
                  <c:v>63824.90259035593</c:v>
                </c:pt>
                <c:pt idx="86">
                  <c:v>69575.801713505614</c:v>
                </c:pt>
                <c:pt idx="87">
                  <c:v>72811.121170397018</c:v>
                </c:pt>
                <c:pt idx="88">
                  <c:v>79671.172245074573</c:v>
                </c:pt>
                <c:pt idx="89">
                  <c:v>83165.335624423751</c:v>
                </c:pt>
                <c:pt idx="90">
                  <c:v>89966.486985833544</c:v>
                </c:pt>
                <c:pt idx="91">
                  <c:v>93155.829802174616</c:v>
                </c:pt>
                <c:pt idx="92">
                  <c:v>96134.401356798568</c:v>
                </c:pt>
                <c:pt idx="93">
                  <c:v>101299.69698420528</c:v>
                </c:pt>
                <c:pt idx="94">
                  <c:v>103437.77174490114</c:v>
                </c:pt>
                <c:pt idx="95">
                  <c:v>106829.56692682068</c:v>
                </c:pt>
                <c:pt idx="96">
                  <c:v>109296.32780625585</c:v>
                </c:pt>
                <c:pt idx="97">
                  <c:v>110366.85135562441</c:v>
                </c:pt>
                <c:pt idx="98">
                  <c:v>111472.62648744071</c:v>
                </c:pt>
                <c:pt idx="99">
                  <c:v>114324.05739343337</c:v>
                </c:pt>
                <c:pt idx="100">
                  <c:v>116355.08647563496</c:v>
                </c:pt>
                <c:pt idx="101">
                  <c:v>122290.07274589973</c:v>
                </c:pt>
                <c:pt idx="102">
                  <c:v>126388.79481773272</c:v>
                </c:pt>
                <c:pt idx="103">
                  <c:v>137018.78129117057</c:v>
                </c:pt>
                <c:pt idx="104">
                  <c:v>143452.10722736633</c:v>
                </c:pt>
                <c:pt idx="105">
                  <c:v>157841.1976373049</c:v>
                </c:pt>
                <c:pt idx="106">
                  <c:v>165329.63122713144</c:v>
                </c:pt>
                <c:pt idx="107">
                  <c:v>179359.14221418274</c:v>
                </c:pt>
                <c:pt idx="108">
                  <c:v>185189.31407980353</c:v>
                </c:pt>
                <c:pt idx="109">
                  <c:v>192640.44141864131</c:v>
                </c:pt>
                <c:pt idx="110">
                  <c:v>193572.86484601942</c:v>
                </c:pt>
                <c:pt idx="111">
                  <c:v>188484.08969479616</c:v>
                </c:pt>
                <c:pt idx="112">
                  <c:v>182149.20829229717</c:v>
                </c:pt>
                <c:pt idx="113">
                  <c:v>161964.585355633</c:v>
                </c:pt>
                <c:pt idx="114">
                  <c:v>148554.02924082306</c:v>
                </c:pt>
                <c:pt idx="115">
                  <c:v>117273.92567397947</c:v>
                </c:pt>
                <c:pt idx="116">
                  <c:v>100636.20937849354</c:v>
                </c:pt>
                <c:pt idx="117">
                  <c:v>68828.06972166599</c:v>
                </c:pt>
                <c:pt idx="118">
                  <c:v>42922.841331011448</c:v>
                </c:pt>
                <c:pt idx="119">
                  <c:v>33032.843660297869</c:v>
                </c:pt>
                <c:pt idx="120">
                  <c:v>25203.582773913375</c:v>
                </c:pt>
                <c:pt idx="121">
                  <c:v>14770.763812283005</c:v>
                </c:pt>
                <c:pt idx="122">
                  <c:v>11525.217274055849</c:v>
                </c:pt>
                <c:pt idx="123">
                  <c:v>7507.4191808463183</c:v>
                </c:pt>
                <c:pt idx="124">
                  <c:v>5451.545284214586</c:v>
                </c:pt>
                <c:pt idx="125">
                  <c:v>4841.8962235932822</c:v>
                </c:pt>
                <c:pt idx="126">
                  <c:v>4410.7644106541948</c:v>
                </c:pt>
                <c:pt idx="127">
                  <c:v>3905.0921053474226</c:v>
                </c:pt>
                <c:pt idx="128">
                  <c:v>3771.6441801847095</c:v>
                </c:pt>
                <c:pt idx="129">
                  <c:v>3651.9127443497973</c:v>
                </c:pt>
                <c:pt idx="130">
                  <c:v>3642.4328283674408</c:v>
                </c:pt>
                <c:pt idx="131">
                  <c:v>3685.5017979638596</c:v>
                </c:pt>
                <c:pt idx="132">
                  <c:v>3727.4269540880082</c:v>
                </c:pt>
                <c:pt idx="133">
                  <c:v>3833.0781410376035</c:v>
                </c:pt>
                <c:pt idx="134">
                  <c:v>3891.3505986466089</c:v>
                </c:pt>
                <c:pt idx="135">
                  <c:v>4009.1122942413467</c:v>
                </c:pt>
                <c:pt idx="136">
                  <c:v>4066.0672288102128</c:v>
                </c:pt>
                <c:pt idx="137">
                  <c:v>4172.7744268282768</c:v>
                </c:pt>
                <c:pt idx="138">
                  <c:v>4222.3010080199037</c:v>
                </c:pt>
                <c:pt idx="139">
                  <c:v>4315.6412996722092</c:v>
                </c:pt>
                <c:pt idx="140">
                  <c:v>4361.0717066216203</c:v>
                </c:pt>
                <c:pt idx="141">
                  <c:v>4454.8666829787744</c:v>
                </c:pt>
                <c:pt idx="142">
                  <c:v>4505.593591766461</c:v>
                </c:pt>
                <c:pt idx="143">
                  <c:v>4619.8990412194071</c:v>
                </c:pt>
                <c:pt idx="144">
                  <c:v>4684.8290898463501</c:v>
                </c:pt>
                <c:pt idx="145">
                  <c:v>4830.710647283855</c:v>
                </c:pt>
                <c:pt idx="146">
                  <c:v>4910.4232303873014</c:v>
                </c:pt>
                <c:pt idx="147">
                  <c:v>5076.4879031429282</c:v>
                </c:pt>
                <c:pt idx="148">
                  <c:v>5158.6642248356593</c:v>
                </c:pt>
                <c:pt idx="149">
                  <c:v>5308.1548965621532</c:v>
                </c:pt>
                <c:pt idx="150">
                  <c:v>5369.5602929154247</c:v>
                </c:pt>
                <c:pt idx="151">
                  <c:v>5450.8180795646949</c:v>
                </c:pt>
                <c:pt idx="152">
                  <c:v>5465.2600555916142</c:v>
                </c:pt>
                <c:pt idx="153">
                  <c:v>5431.2011494549342</c:v>
                </c:pt>
                <c:pt idx="154">
                  <c:v>5380.1405388912426</c:v>
                </c:pt>
                <c:pt idx="155">
                  <c:v>5208.6856042407408</c:v>
                </c:pt>
                <c:pt idx="156">
                  <c:v>5089.962635045621</c:v>
                </c:pt>
                <c:pt idx="157">
                  <c:v>4795.8329167547381</c:v>
                </c:pt>
                <c:pt idx="158">
                  <c:v>4625.8521296760864</c:v>
                </c:pt>
                <c:pt idx="159">
                  <c:v>4256.3721638668094</c:v>
                </c:pt>
                <c:pt idx="160">
                  <c:v>4063.8756705081246</c:v>
                </c:pt>
                <c:pt idx="161">
                  <c:v>3680.3390257754913</c:v>
                </c:pt>
                <c:pt idx="162">
                  <c:v>3495.3711624728994</c:v>
                </c:pt>
                <c:pt idx="163">
                  <c:v>3151.4732320781859</c:v>
                </c:pt>
                <c:pt idx="164">
                  <c:v>2996.2663528911717</c:v>
                </c:pt>
                <c:pt idx="165">
                  <c:v>2725.5228696420227</c:v>
                </c:pt>
                <c:pt idx="166">
                  <c:v>2611.3273901489492</c:v>
                </c:pt>
                <c:pt idx="167">
                  <c:v>2426.3074166154915</c:v>
                </c:pt>
                <c:pt idx="168">
                  <c:v>2355.1478247315827</c:v>
                </c:pt>
                <c:pt idx="169">
                  <c:v>2253.3352242757537</c:v>
                </c:pt>
                <c:pt idx="170">
                  <c:v>2221.4038732967201</c:v>
                </c:pt>
                <c:pt idx="171">
                  <c:v>2191.5868264489131</c:v>
                </c:pt>
                <c:pt idx="172">
                  <c:v>2191.9213126388668</c:v>
                </c:pt>
                <c:pt idx="173">
                  <c:v>2218.1805150516825</c:v>
                </c:pt>
                <c:pt idx="174">
                  <c:v>2241.9808984315055</c:v>
                </c:pt>
                <c:pt idx="175">
                  <c:v>2305.198255503703</c:v>
                </c:pt>
                <c:pt idx="176">
                  <c:v>2342.1569321923726</c:v>
                </c:pt>
                <c:pt idx="177">
                  <c:v>2420.2199166045207</c:v>
                </c:pt>
                <c:pt idx="178">
                  <c:v>2458.5587178186397</c:v>
                </c:pt>
                <c:pt idx="179">
                  <c:v>2526.7023868728079</c:v>
                </c:pt>
                <c:pt idx="180">
                  <c:v>2553.6276881054937</c:v>
                </c:pt>
                <c:pt idx="181">
                  <c:v>2586.2440585774789</c:v>
                </c:pt>
                <c:pt idx="182">
                  <c:v>2589.4030953529204</c:v>
                </c:pt>
                <c:pt idx="183">
                  <c:v>2564.1828393134369</c:v>
                </c:pt>
                <c:pt idx="184">
                  <c:v>2534.3235447995003</c:v>
                </c:pt>
                <c:pt idx="185">
                  <c:v>2438.427366148675</c:v>
                </c:pt>
                <c:pt idx="186">
                  <c:v>2372.6550911650888</c:v>
                </c:pt>
                <c:pt idx="187">
                  <c:v>2208.6188306739209</c:v>
                </c:pt>
                <c:pt idx="188">
                  <c:v>2112.5697856456882</c:v>
                </c:pt>
                <c:pt idx="189">
                  <c:v>1899.8758763529938</c:v>
                </c:pt>
                <c:pt idx="190">
                  <c:v>1786.7287878250311</c:v>
                </c:pt>
                <c:pt idx="191">
                  <c:v>1555.9334352036724</c:v>
                </c:pt>
                <c:pt idx="192">
                  <c:v>1441.7337912528535</c:v>
                </c:pt>
                <c:pt idx="193">
                  <c:v>1223.0756954623291</c:v>
                </c:pt>
                <c:pt idx="194">
                  <c:v>1120.8620151356495</c:v>
                </c:pt>
                <c:pt idx="195">
                  <c:v>934.35320119978235</c:v>
                </c:pt>
                <c:pt idx="196">
                  <c:v>850.80178634047968</c:v>
                </c:pt>
                <c:pt idx="197">
                  <c:v>703.45042978844481</c:v>
                </c:pt>
                <c:pt idx="198">
                  <c:v>639.32855119631085</c:v>
                </c:pt>
                <c:pt idx="199">
                  <c:v>528.65467504880678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2A-4A43-97FD-E7B1AD4F0C19}"/>
            </c:ext>
          </c:extLst>
        </c:ser>
        <c:ser>
          <c:idx val="2"/>
          <c:order val="2"/>
          <c:tx>
            <c:strRef>
              <c:f>TL!$AA$34</c:f>
              <c:strCache>
                <c:ptCount val="1"/>
                <c:pt idx="0">
                  <c:v>I1</c:v>
                </c:pt>
              </c:strCache>
            </c:strRef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TL!$AA$35:$AA$384</c:f>
              <c:numCache>
                <c:formatCode>General</c:formatCode>
                <c:ptCount val="350"/>
                <c:pt idx="0">
                  <c:v>8688.3257476646486</c:v>
                </c:pt>
                <c:pt idx="1">
                  <c:v>9430.4806527135679</c:v>
                </c:pt>
                <c:pt idx="2">
                  <c:v>10200.371425279714</c:v>
                </c:pt>
                <c:pt idx="3">
                  <c:v>11795.417409812182</c:v>
                </c:pt>
                <c:pt idx="4">
                  <c:v>13398.436402718216</c:v>
                </c:pt>
                <c:pt idx="5">
                  <c:v>14170.473648951389</c:v>
                </c:pt>
                <c:pt idx="6">
                  <c:v>15572.276017532537</c:v>
                </c:pt>
                <c:pt idx="7">
                  <c:v>16163.168633611291</c:v>
                </c:pt>
                <c:pt idx="8">
                  <c:v>16652.653573712319</c:v>
                </c:pt>
                <c:pt idx="9">
                  <c:v>17241.289366806715</c:v>
                </c:pt>
                <c:pt idx="10">
                  <c:v>17179.16769745525</c:v>
                </c:pt>
                <c:pt idx="11">
                  <c:v>16867.071955404394</c:v>
                </c:pt>
                <c:pt idx="12">
                  <c:v>15655.073778633126</c:v>
                </c:pt>
                <c:pt idx="13">
                  <c:v>14768.051987863442</c:v>
                </c:pt>
                <c:pt idx="14">
                  <c:v>12532.305200000947</c:v>
                </c:pt>
                <c:pt idx="15">
                  <c:v>11250.600073061392</c:v>
                </c:pt>
                <c:pt idx="16">
                  <c:v>8577.006578389397</c:v>
                </c:pt>
                <c:pt idx="17">
                  <c:v>7279.7426684283955</c:v>
                </c:pt>
                <c:pt idx="18">
                  <c:v>4971.5657116865987</c:v>
                </c:pt>
                <c:pt idx="19">
                  <c:v>4015.2176729617754</c:v>
                </c:pt>
                <c:pt idx="20">
                  <c:v>2539.5867145377774</c:v>
                </c:pt>
                <c:pt idx="21">
                  <c:v>2003.5164651673572</c:v>
                </c:pt>
                <c:pt idx="22">
                  <c:v>1579.673897550641</c:v>
                </c:pt>
                <c:pt idx="23">
                  <c:v>991.52426019842346</c:v>
                </c:pt>
                <c:pt idx="24">
                  <c:v>638.2244703099343</c:v>
                </c:pt>
                <c:pt idx="25">
                  <c:v>518.12157347017364</c:v>
                </c:pt>
                <c:pt idx="26">
                  <c:v>349.95586520048244</c:v>
                </c:pt>
                <c:pt idx="27">
                  <c:v>291.05594042296326</c:v>
                </c:pt>
                <c:pt idx="28">
                  <c:v>205.79904310303229</c:v>
                </c:pt>
                <c:pt idx="29">
                  <c:v>174.80579009691797</c:v>
                </c:pt>
                <c:pt idx="30">
                  <c:v>149.38925098117645</c:v>
                </c:pt>
                <c:pt idx="31">
                  <c:v>110.92431437272796</c:v>
                </c:pt>
                <c:pt idx="32">
                  <c:v>83.970291367467169</c:v>
                </c:pt>
                <c:pt idx="33">
                  <c:v>73.523186373482488</c:v>
                </c:pt>
                <c:pt idx="34">
                  <c:v>56.994412945155247</c:v>
                </c:pt>
                <c:pt idx="35">
                  <c:v>50.431383685719986</c:v>
                </c:pt>
                <c:pt idx="36">
                  <c:v>44.757874528511799</c:v>
                </c:pt>
                <c:pt idx="37">
                  <c:v>35.541266984810548</c:v>
                </c:pt>
                <c:pt idx="38">
                  <c:v>31.787871738391164</c:v>
                </c:pt>
                <c:pt idx="39">
                  <c:v>25.594707548373226</c:v>
                </c:pt>
                <c:pt idx="40">
                  <c:v>23.034793772907459</c:v>
                </c:pt>
                <c:pt idx="41">
                  <c:v>18.756738065178542</c:v>
                </c:pt>
                <c:pt idx="42">
                  <c:v>15.370569031068383</c:v>
                </c:pt>
                <c:pt idx="43">
                  <c:v>13.944029266566696</c:v>
                </c:pt>
                <c:pt idx="44">
                  <c:v>12.666596040703677</c:v>
                </c:pt>
                <c:pt idx="45">
                  <c:v>10.490503980062288</c:v>
                </c:pt>
                <c:pt idx="46">
                  <c:v>8.7271158731602529</c:v>
                </c:pt>
                <c:pt idx="47">
                  <c:v>7.9721051392596562</c:v>
                </c:pt>
                <c:pt idx="48">
                  <c:v>6.6711528775608731</c:v>
                </c:pt>
                <c:pt idx="49">
                  <c:v>6.1106671058623547</c:v>
                </c:pt>
                <c:pt idx="50">
                  <c:v>5.601908605935856</c:v>
                </c:pt>
                <c:pt idx="51">
                  <c:v>4.7189865877910311</c:v>
                </c:pt>
                <c:pt idx="52">
                  <c:v>4.3359705606201118</c:v>
                </c:pt>
                <c:pt idx="53">
                  <c:v>3.6682753955062553</c:v>
                </c:pt>
                <c:pt idx="54">
                  <c:v>3.1114689166514409</c:v>
                </c:pt>
                <c:pt idx="55">
                  <c:v>2.8682417721012059</c:v>
                </c:pt>
                <c:pt idx="56">
                  <c:v>2.4415756938602904</c:v>
                </c:pt>
                <c:pt idx="57">
                  <c:v>2.2545443157408238</c:v>
                </c:pt>
                <c:pt idx="58">
                  <c:v>1.9254113028162734</c:v>
                </c:pt>
                <c:pt idx="59">
                  <c:v>1.7806843851549217</c:v>
                </c:pt>
                <c:pt idx="60">
                  <c:v>1.5252712236278902</c:v>
                </c:pt>
                <c:pt idx="61">
                  <c:v>1.4126457782087429</c:v>
                </c:pt>
                <c:pt idx="62">
                  <c:v>1.2133849351461261</c:v>
                </c:pt>
                <c:pt idx="63">
                  <c:v>1.1252884648955217</c:v>
                </c:pt>
                <c:pt idx="64">
                  <c:v>1.0440326833863898</c:v>
                </c:pt>
                <c:pt idx="65">
                  <c:v>0.89981765804842873</c:v>
                </c:pt>
                <c:pt idx="66">
                  <c:v>0.8358680968534683</c:v>
                </c:pt>
                <c:pt idx="67">
                  <c:v>0.72212814481744769</c:v>
                </c:pt>
                <c:pt idx="68">
                  <c:v>0.62481492401561478</c:v>
                </c:pt>
                <c:pt idx="69">
                  <c:v>0.58151500052786664</c:v>
                </c:pt>
                <c:pt idx="70">
                  <c:v>0.50425418962692659</c:v>
                </c:pt>
                <c:pt idx="71">
                  <c:v>0.46981184840250539</c:v>
                </c:pt>
                <c:pt idx="72">
                  <c:v>0.43787378606019889</c:v>
                </c:pt>
                <c:pt idx="73">
                  <c:v>0.38075213832642291</c:v>
                </c:pt>
                <c:pt idx="74">
                  <c:v>0.33152346201821514</c:v>
                </c:pt>
                <c:pt idx="75">
                  <c:v>0.3095014430808295</c:v>
                </c:pt>
                <c:pt idx="76">
                  <c:v>0.2700076162027521</c:v>
                </c:pt>
                <c:pt idx="77">
                  <c:v>0.25231192315014339</c:v>
                </c:pt>
                <c:pt idx="78">
                  <c:v>0.22052811874547018</c:v>
                </c:pt>
                <c:pt idx="79">
                  <c:v>0.2062650110552999</c:v>
                </c:pt>
                <c:pt idx="80">
                  <c:v>0.18060882137431827</c:v>
                </c:pt>
                <c:pt idx="81">
                  <c:v>0.1690784189095183</c:v>
                </c:pt>
                <c:pt idx="82">
                  <c:v>0.14830831216792595</c:v>
                </c:pt>
                <c:pt idx="83">
                  <c:v>0.1389604543503781</c:v>
                </c:pt>
                <c:pt idx="84">
                  <c:v>0.12209873918569042</c:v>
                </c:pt>
                <c:pt idx="85">
                  <c:v>0.11449940341202886</c:v>
                </c:pt>
                <c:pt idx="86">
                  <c:v>0.10077346930177782</c:v>
                </c:pt>
                <c:pt idx="87">
                  <c:v>9.457909027743526E-2</c:v>
                </c:pt>
                <c:pt idx="88">
                  <c:v>8.3376365346893647E-2</c:v>
                </c:pt>
                <c:pt idx="89">
                  <c:v>7.8314102842301725E-2</c:v>
                </c:pt>
                <c:pt idx="90">
                  <c:v>6.9147368412209406E-2</c:v>
                </c:pt>
                <c:pt idx="91">
                  <c:v>6.499987872876796E-2</c:v>
                </c:pt>
                <c:pt idx="92">
                  <c:v>6.1116853061739917E-2</c:v>
                </c:pt>
                <c:pt idx="93">
                  <c:v>5.4074080516226287E-2</c:v>
                </c:pt>
                <c:pt idx="94">
                  <c:v>5.0882357248443907E-2</c:v>
                </c:pt>
                <c:pt idx="95">
                  <c:v>4.5086589288996615E-2</c:v>
                </c:pt>
                <c:pt idx="96">
                  <c:v>3.9990272951389828E-2</c:v>
                </c:pt>
                <c:pt idx="97">
                  <c:v>3.7676107371964383E-2</c:v>
                </c:pt>
                <c:pt idx="98">
                  <c:v>3.5504396883092634E-2</c:v>
                </c:pt>
                <c:pt idx="99">
                  <c:v>3.1551850890064799E-2</c:v>
                </c:pt>
                <c:pt idx="100">
                  <c:v>2.9754318461867504E-2</c:v>
                </c:pt>
                <c:pt idx="101">
                  <c:v>2.6479177529460846E-2</c:v>
                </c:pt>
                <c:pt idx="102">
                  <c:v>2.4988054606534794E-2</c:v>
                </c:pt>
                <c:pt idx="103">
                  <c:v>2.2268268075510852E-2</c:v>
                </c:pt>
                <c:pt idx="104">
                  <c:v>2.1028639200053906E-2</c:v>
                </c:pt>
                <c:pt idx="105">
                  <c:v>1.8765186014972027E-2</c:v>
                </c:pt>
                <c:pt idx="106">
                  <c:v>1.7732443555166726E-2</c:v>
                </c:pt>
                <c:pt idx="107">
                  <c:v>1.5844795144926507E-2</c:v>
                </c:pt>
                <c:pt idx="108">
                  <c:v>1.4982619121480144E-2</c:v>
                </c:pt>
                <c:pt idx="109">
                  <c:v>1.3405133443715276E-2</c:v>
                </c:pt>
                <c:pt idx="110">
                  <c:v>1.2683883773055375E-2</c:v>
                </c:pt>
                <c:pt idx="111">
                  <c:v>1.1362931768371535E-2</c:v>
                </c:pt>
                <c:pt idx="112">
                  <c:v>1.0758365370094218E-2</c:v>
                </c:pt>
                <c:pt idx="113">
                  <c:v>9.6500351495406467E-3</c:v>
                </c:pt>
                <c:pt idx="114">
                  <c:v>9.1422796725442214E-3</c:v>
                </c:pt>
                <c:pt idx="115">
                  <c:v>8.210537686931486E-3</c:v>
                </c:pt>
                <c:pt idx="116">
                  <c:v>7.7832684951948776E-3</c:v>
                </c:pt>
                <c:pt idx="117">
                  <c:v>6.9984831369367629E-3</c:v>
                </c:pt>
                <c:pt idx="118">
                  <c:v>6.2978231727263316E-3</c:v>
                </c:pt>
                <c:pt idx="119">
                  <c:v>5.9760151048887621E-3</c:v>
                </c:pt>
                <c:pt idx="120">
                  <c:v>5.6717559675074965E-3</c:v>
                </c:pt>
                <c:pt idx="121">
                  <c:v>5.1118854758688383E-3</c:v>
                </c:pt>
                <c:pt idx="122">
                  <c:v>4.8544256686253529E-3</c:v>
                </c:pt>
                <c:pt idx="123">
                  <c:v>4.3802489820058549E-3</c:v>
                </c:pt>
                <c:pt idx="124">
                  <c:v>3.9553642666624866E-3</c:v>
                </c:pt>
                <c:pt idx="125">
                  <c:v>3.7596868590116356E-3</c:v>
                </c:pt>
                <c:pt idx="126">
                  <c:v>3.5743504856432795E-3</c:v>
                </c:pt>
                <c:pt idx="127">
                  <c:v>3.2324143427501823E-3</c:v>
                </c:pt>
                <c:pt idx="128">
                  <c:v>3.0747551629043716E-3</c:v>
                </c:pt>
                <c:pt idx="129">
                  <c:v>2.7836360272398284E-3</c:v>
                </c:pt>
                <c:pt idx="130">
                  <c:v>2.6492927542837112E-3</c:v>
                </c:pt>
                <c:pt idx="131">
                  <c:v>2.4010204089474096E-3</c:v>
                </c:pt>
                <c:pt idx="132">
                  <c:v>2.2863534966847702E-3</c:v>
                </c:pt>
                <c:pt idx="133">
                  <c:v>2.0742707103902662E-3</c:v>
                </c:pt>
                <c:pt idx="134">
                  <c:v>1.9762374074619327E-3</c:v>
                </c:pt>
                <c:pt idx="135">
                  <c:v>1.7947736427416819E-3</c:v>
                </c:pt>
                <c:pt idx="136">
                  <c:v>1.7108256004742465E-3</c:v>
                </c:pt>
                <c:pt idx="137">
                  <c:v>1.555311391146787E-3</c:v>
                </c:pt>
                <c:pt idx="138">
                  <c:v>1.483310591715768E-3</c:v>
                </c:pt>
                <c:pt idx="139">
                  <c:v>1.3498249890063359E-3</c:v>
                </c:pt>
                <c:pt idx="140">
                  <c:v>1.2879745850402752E-3</c:v>
                </c:pt>
                <c:pt idx="141">
                  <c:v>1.1732195454203067E-3</c:v>
                </c:pt>
                <c:pt idx="142">
                  <c:v>1.1200068602501667E-3</c:v>
                </c:pt>
                <c:pt idx="143">
                  <c:v>1.0212036258803034E-3</c:v>
                </c:pt>
                <c:pt idx="144">
                  <c:v>9.7535309017169421E-4</c:v>
                </c:pt>
                <c:pt idx="145">
                  <c:v>8.9015655620010856E-4</c:v>
                </c:pt>
                <c:pt idx="146">
                  <c:v>8.5059077887644351E-4</c:v>
                </c:pt>
                <c:pt idx="147">
                  <c:v>7.7701859900332858E-4</c:v>
                </c:pt>
                <c:pt idx="148">
                  <c:v>7.4282610956005843E-4</c:v>
                </c:pt>
                <c:pt idx="149">
                  <c:v>6.7919990022673735E-4</c:v>
                </c:pt>
                <c:pt idx="150">
                  <c:v>6.496083726105586E-4</c:v>
                </c:pt>
                <c:pt idx="151">
                  <c:v>5.9450486689962851E-4</c:v>
                </c:pt>
                <c:pt idx="152">
                  <c:v>5.6885885540615519E-4</c:v>
                </c:pt>
                <c:pt idx="153">
                  <c:v>5.2106925397432755E-4</c:v>
                </c:pt>
                <c:pt idx="154">
                  <c:v>4.9881164965504704E-4</c:v>
                </c:pt>
                <c:pt idx="155">
                  <c:v>4.573077365745597E-4</c:v>
                </c:pt>
                <c:pt idx="156">
                  <c:v>4.3796429681448569E-4</c:v>
                </c:pt>
                <c:pt idx="157">
                  <c:v>4.0187014801711221E-4</c:v>
                </c:pt>
                <c:pt idx="158">
                  <c:v>3.8503656890910153E-4</c:v>
                </c:pt>
                <c:pt idx="159">
                  <c:v>3.5360489190822841E-4</c:v>
                </c:pt>
                <c:pt idx="160">
                  <c:v>3.389359881174119E-4</c:v>
                </c:pt>
                <c:pt idx="161">
                  <c:v>3.1152830332040887E-4</c:v>
                </c:pt>
                <c:pt idx="162">
                  <c:v>2.9872893754139359E-4</c:v>
                </c:pt>
                <c:pt idx="163">
                  <c:v>2.7479895134460117E-4</c:v>
                </c:pt>
                <c:pt idx="164">
                  <c:v>2.6361641859749433E-4</c:v>
                </c:pt>
                <c:pt idx="165">
                  <c:v>2.4269605265613144E-4</c:v>
                </c:pt>
                <c:pt idx="166">
                  <c:v>2.3291367626399826E-4</c:v>
                </c:pt>
                <c:pt idx="167">
                  <c:v>2.1460131072587185E-4</c:v>
                </c:pt>
                <c:pt idx="168">
                  <c:v>2.0603304905020793E-4</c:v>
                </c:pt>
                <c:pt idx="169">
                  <c:v>1.8998361405529418E-4</c:v>
                </c:pt>
                <c:pt idx="170">
                  <c:v>1.8246951169488911E-4</c:v>
                </c:pt>
                <c:pt idx="171">
                  <c:v>1.6838612423016809E-4</c:v>
                </c:pt>
                <c:pt idx="172">
                  <c:v>1.6178846982932427E-4</c:v>
                </c:pt>
                <c:pt idx="173">
                  <c:v>1.4941536463733754E-4</c:v>
                </c:pt>
                <c:pt idx="174">
                  <c:v>1.4361544084592797E-4</c:v>
                </c:pt>
                <c:pt idx="175">
                  <c:v>1.3273198657558802E-4</c:v>
                </c:pt>
                <c:pt idx="176">
                  <c:v>1.2762731698163642E-4</c:v>
                </c:pt>
                <c:pt idx="177">
                  <c:v>1.1804294380841001E-4</c:v>
                </c:pt>
                <c:pt idx="178">
                  <c:v>1.1354495757404674E-4</c:v>
                </c:pt>
                <c:pt idx="179">
                  <c:v>1.0509485145621197E-4</c:v>
                </c:pt>
                <c:pt idx="180">
                  <c:v>1.0112689953893917E-4</c:v>
                </c:pt>
                <c:pt idx="181">
                  <c:v>9.3668342216036174E-5</c:v>
                </c:pt>
                <c:pt idx="182">
                  <c:v>9.0164009944648132E-5</c:v>
                </c:pt>
                <c:pt idx="183">
                  <c:v>8.3573263617931542E-5</c:v>
                </c:pt>
                <c:pt idx="184">
                  <c:v>8.0474933419465923E-5</c:v>
                </c:pt>
                <c:pt idx="185">
                  <c:v>7.4644585511109824E-5</c:v>
                </c:pt>
                <c:pt idx="186">
                  <c:v>7.1902211081039424E-5</c:v>
                </c:pt>
                <c:pt idx="187">
                  <c:v>6.6738908144382757E-5</c:v>
                </c:pt>
                <c:pt idx="188">
                  <c:v>6.4308967585882031E-5</c:v>
                </c:pt>
                <c:pt idx="189">
                  <c:v>5.9731478819894271E-5</c:v>
                </c:pt>
                <c:pt idx="190">
                  <c:v>5.7576079469471049E-5</c:v>
                </c:pt>
                <c:pt idx="191">
                  <c:v>5.3513639775688686E-5</c:v>
                </c:pt>
                <c:pt idx="192">
                  <c:v>5.1599751762312732E-5</c:v>
                </c:pt>
                <c:pt idx="193">
                  <c:v>4.7990642198843277E-5</c:v>
                </c:pt>
                <c:pt idx="194">
                  <c:v>4.6289441399994887E-5</c:v>
                </c:pt>
                <c:pt idx="195">
                  <c:v>4.3079771503583613E-5</c:v>
                </c:pt>
                <c:pt idx="196">
                  <c:v>4.1566075586243802E-5</c:v>
                </c:pt>
                <c:pt idx="197">
                  <c:v>3.8708737571032004E-5</c:v>
                </c:pt>
                <c:pt idx="198">
                  <c:v>3.7360521338863344E-5</c:v>
                </c:pt>
                <c:pt idx="199">
                  <c:v>3.4814290821563231E-5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2A-4A43-97FD-E7B1AD4F0C19}"/>
            </c:ext>
          </c:extLst>
        </c:ser>
        <c:ser>
          <c:idx val="3"/>
          <c:order val="3"/>
          <c:tx>
            <c:strRef>
              <c:f>TL!$AB$34</c:f>
              <c:strCache>
                <c:ptCount val="1"/>
                <c:pt idx="0">
                  <c:v>I2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TL!$AB$35:$AB$384</c:f>
              <c:numCache>
                <c:formatCode>General</c:formatCode>
                <c:ptCount val="350"/>
                <c:pt idx="0">
                  <c:v>71.962157838898008</c:v>
                </c:pt>
                <c:pt idx="1">
                  <c:v>82.654101437944163</c:v>
                </c:pt>
                <c:pt idx="2">
                  <c:v>94.853346341860245</c:v>
                </c:pt>
                <c:pt idx="3">
                  <c:v>124.6020225198573</c:v>
                </c:pt>
                <c:pt idx="4">
                  <c:v>163.13392596666841</c:v>
                </c:pt>
                <c:pt idx="5">
                  <c:v>186.42990993530495</c:v>
                </c:pt>
                <c:pt idx="6">
                  <c:v>242.88119857417774</c:v>
                </c:pt>
                <c:pt idx="7">
                  <c:v>276.88882001357058</c:v>
                </c:pt>
                <c:pt idx="8">
                  <c:v>315.40454870915357</c:v>
                </c:pt>
                <c:pt idx="9">
                  <c:v>408.27550276326991</c:v>
                </c:pt>
                <c:pt idx="10">
                  <c:v>526.82046723803376</c:v>
                </c:pt>
                <c:pt idx="11">
                  <c:v>597.72894266829178</c:v>
                </c:pt>
                <c:pt idx="12">
                  <c:v>767.65371295352315</c:v>
                </c:pt>
                <c:pt idx="13">
                  <c:v>868.93125505680609</c:v>
                </c:pt>
                <c:pt idx="14">
                  <c:v>1110.717585077572</c:v>
                </c:pt>
                <c:pt idx="15">
                  <c:v>1254.2966403366356</c:v>
                </c:pt>
                <c:pt idx="16">
                  <c:v>1595.7364939361646</c:v>
                </c:pt>
                <c:pt idx="17">
                  <c:v>1797.7156597732983</c:v>
                </c:pt>
                <c:pt idx="18">
                  <c:v>2276.0594799099667</c:v>
                </c:pt>
                <c:pt idx="19">
                  <c:v>2557.8671667919057</c:v>
                </c:pt>
                <c:pt idx="20">
                  <c:v>3222.2986524978728</c:v>
                </c:pt>
                <c:pt idx="21">
                  <c:v>3611.9819326615525</c:v>
                </c:pt>
                <c:pt idx="22">
                  <c:v>4045.1850634589632</c:v>
                </c:pt>
                <c:pt idx="23">
                  <c:v>5059.6822297122289</c:v>
                </c:pt>
                <c:pt idx="24">
                  <c:v>6304.1453024408092</c:v>
                </c:pt>
                <c:pt idx="25">
                  <c:v>7026.0396782022844</c:v>
                </c:pt>
                <c:pt idx="26">
                  <c:v>8698.7289848537912</c:v>
                </c:pt>
                <c:pt idx="27">
                  <c:v>9662.1613110424496</c:v>
                </c:pt>
                <c:pt idx="28">
                  <c:v>11876.215000926992</c:v>
                </c:pt>
                <c:pt idx="29">
                  <c:v>13140.28067592049</c:v>
                </c:pt>
                <c:pt idx="30">
                  <c:v>14517.875839658649</c:v>
                </c:pt>
                <c:pt idx="31">
                  <c:v>17638.397204828609</c:v>
                </c:pt>
                <c:pt idx="32">
                  <c:v>21280.905279118047</c:v>
                </c:pt>
                <c:pt idx="33">
                  <c:v>23307.128847366708</c:v>
                </c:pt>
                <c:pt idx="34">
                  <c:v>27773.977198302466</c:v>
                </c:pt>
                <c:pt idx="35">
                  <c:v>30209.486924924589</c:v>
                </c:pt>
                <c:pt idx="36">
                  <c:v>32771.264412015604</c:v>
                </c:pt>
                <c:pt idx="37">
                  <c:v>38225.146010677272</c:v>
                </c:pt>
                <c:pt idx="38">
                  <c:v>41081.194581008924</c:v>
                </c:pt>
                <c:pt idx="39">
                  <c:v>46919.447483359087</c:v>
                </c:pt>
                <c:pt idx="40">
                  <c:v>49829.796748840286</c:v>
                </c:pt>
                <c:pt idx="41">
                  <c:v>55401.661271598503</c:v>
                </c:pt>
                <c:pt idx="42">
                  <c:v>60254.28003543034</c:v>
                </c:pt>
                <c:pt idx="43">
                  <c:v>62243.913173879002</c:v>
                </c:pt>
                <c:pt idx="44">
                  <c:v>63845.687629510037</c:v>
                </c:pt>
                <c:pt idx="45">
                  <c:v>65594.419210010237</c:v>
                </c:pt>
                <c:pt idx="46">
                  <c:v>64970.500731171247</c:v>
                </c:pt>
                <c:pt idx="47">
                  <c:v>63648.338496477882</c:v>
                </c:pt>
                <c:pt idx="48">
                  <c:v>58904.843785626275</c:v>
                </c:pt>
                <c:pt idx="49">
                  <c:v>55527.964005578957</c:v>
                </c:pt>
                <c:pt idx="50">
                  <c:v>51559.542726865271</c:v>
                </c:pt>
                <c:pt idx="51">
                  <c:v>42261.991020163601</c:v>
                </c:pt>
                <c:pt idx="52">
                  <c:v>37203.86055174355</c:v>
                </c:pt>
                <c:pt idx="53">
                  <c:v>27066.261872424981</c:v>
                </c:pt>
                <c:pt idx="54">
                  <c:v>17959.339907634869</c:v>
                </c:pt>
                <c:pt idx="55">
                  <c:v>14116.475819056566</c:v>
                </c:pt>
                <c:pt idx="56">
                  <c:v>8177.0514686254937</c:v>
                </c:pt>
                <c:pt idx="57">
                  <c:v>6071.6505869416414</c:v>
                </c:pt>
                <c:pt idx="58">
                  <c:v>3280.4120113932672</c:v>
                </c:pt>
                <c:pt idx="59">
                  <c:v>2417.1303160724351</c:v>
                </c:pt>
                <c:pt idx="60">
                  <c:v>1350.6002801845434</c:v>
                </c:pt>
                <c:pt idx="61">
                  <c:v>1029.4968188724811</c:v>
                </c:pt>
                <c:pt idx="62">
                  <c:v>624.43827974819953</c:v>
                </c:pt>
                <c:pt idx="63">
                  <c:v>496.54886681704392</c:v>
                </c:pt>
                <c:pt idx="64">
                  <c:v>399.94571966200152</c:v>
                </c:pt>
                <c:pt idx="65">
                  <c:v>268.56843508720829</c:v>
                </c:pt>
                <c:pt idx="66">
                  <c:v>223.46215861482941</c:v>
                </c:pt>
                <c:pt idx="67">
                  <c:v>158.76381139630408</c:v>
                </c:pt>
                <c:pt idx="68">
                  <c:v>116.14868651236465</c:v>
                </c:pt>
                <c:pt idx="69">
                  <c:v>100.27220633670605</c:v>
                </c:pt>
                <c:pt idx="70">
                  <c:v>75.923275216226088</c:v>
                </c:pt>
                <c:pt idx="71">
                  <c:v>66.526671712448916</c:v>
                </c:pt>
                <c:pt idx="72">
                  <c:v>58.53248349677267</c:v>
                </c:pt>
                <c:pt idx="73">
                  <c:v>45.808209511914633</c:v>
                </c:pt>
                <c:pt idx="74">
                  <c:v>36.305358808630302</c:v>
                </c:pt>
                <c:pt idx="75">
                  <c:v>32.45418434052965</c:v>
                </c:pt>
                <c:pt idx="76">
                  <c:v>26.121379708677246</c:v>
                </c:pt>
                <c:pt idx="77">
                  <c:v>23.510859941390308</c:v>
                </c:pt>
                <c:pt idx="78">
                  <c:v>19.155938942497915</c:v>
                </c:pt>
                <c:pt idx="79">
                  <c:v>17.336140849088622</c:v>
                </c:pt>
                <c:pt idx="80">
                  <c:v>14.264858750153977</c:v>
                </c:pt>
                <c:pt idx="81">
                  <c:v>12.967258231648332</c:v>
                </c:pt>
                <c:pt idx="82">
                  <c:v>10.756469419725121</c:v>
                </c:pt>
                <c:pt idx="83">
                  <c:v>9.8139910036011209</c:v>
                </c:pt>
                <c:pt idx="84">
                  <c:v>8.1956847449564574</c:v>
                </c:pt>
                <c:pt idx="85">
                  <c:v>7.5006499904778492</c:v>
                </c:pt>
                <c:pt idx="86">
                  <c:v>6.2994658892235433</c:v>
                </c:pt>
                <c:pt idx="87">
                  <c:v>5.780374951983597</c:v>
                </c:pt>
                <c:pt idx="88">
                  <c:v>4.8783643188087362</c:v>
                </c:pt>
                <c:pt idx="89">
                  <c:v>4.4865204527893301</c:v>
                </c:pt>
                <c:pt idx="90">
                  <c:v>3.8024654606129697</c:v>
                </c:pt>
                <c:pt idx="91">
                  <c:v>3.5039776488025796</c:v>
                </c:pt>
                <c:pt idx="92">
                  <c:v>3.2308854358380983</c:v>
                </c:pt>
                <c:pt idx="93">
                  <c:v>2.751663332212769</c:v>
                </c:pt>
                <c:pt idx="94">
                  <c:v>2.541504518338106</c:v>
                </c:pt>
                <c:pt idx="95">
                  <c:v>2.1714972934137116</c:v>
                </c:pt>
                <c:pt idx="96">
                  <c:v>1.8590166541762987</c:v>
                </c:pt>
                <c:pt idx="97">
                  <c:v>1.7212743628664564</c:v>
                </c:pt>
                <c:pt idx="98">
                  <c:v>1.594455592296921</c:v>
                </c:pt>
                <c:pt idx="99">
                  <c:v>1.3699587488135199</c:v>
                </c:pt>
                <c:pt idx="100">
                  <c:v>1.2706477537719048</c:v>
                </c:pt>
                <c:pt idx="101">
                  <c:v>1.0944227628162386</c:v>
                </c:pt>
                <c:pt idx="102">
                  <c:v>1.0162940379875274</c:v>
                </c:pt>
                <c:pt idx="103">
                  <c:v>0.87736078658833283</c:v>
                </c:pt>
                <c:pt idx="104">
                  <c:v>0.81563551179399141</c:v>
                </c:pt>
                <c:pt idx="105">
                  <c:v>0.70565692787261902</c:v>
                </c:pt>
                <c:pt idx="106">
                  <c:v>0.65670083162118231</c:v>
                </c:pt>
                <c:pt idx="107">
                  <c:v>0.56931544569887005</c:v>
                </c:pt>
                <c:pt idx="108">
                  <c:v>0.53034640929426291</c:v>
                </c:pt>
                <c:pt idx="109">
                  <c:v>0.46066990773095923</c:v>
                </c:pt>
                <c:pt idx="110">
                  <c:v>0.42954561362035937</c:v>
                </c:pt>
                <c:pt idx="111">
                  <c:v>0.37380690831119318</c:v>
                </c:pt>
                <c:pt idx="112">
                  <c:v>0.3488689836602078</c:v>
                </c:pt>
                <c:pt idx="113">
                  <c:v>0.30414184058151539</c:v>
                </c:pt>
                <c:pt idx="114">
                  <c:v>0.28410039201169429</c:v>
                </c:pt>
                <c:pt idx="115">
                  <c:v>0.2481037759376169</c:v>
                </c:pt>
                <c:pt idx="116">
                  <c:v>0.23195113568441039</c:v>
                </c:pt>
                <c:pt idx="117">
                  <c:v>0.20289950876866808</c:v>
                </c:pt>
                <c:pt idx="118">
                  <c:v>0.17767856173907601</c:v>
                </c:pt>
                <c:pt idx="119">
                  <c:v>0.16633561350966458</c:v>
                </c:pt>
                <c:pt idx="120">
                  <c:v>0.15575767775448662</c:v>
                </c:pt>
                <c:pt idx="121">
                  <c:v>0.13668339099605073</c:v>
                </c:pt>
                <c:pt idx="122">
                  <c:v>0.12809016959040112</c:v>
                </c:pt>
                <c:pt idx="123">
                  <c:v>0.11257577545292886</c:v>
                </c:pt>
                <c:pt idx="124">
                  <c:v>9.9039108518085839E-2</c:v>
                </c:pt>
                <c:pt idx="125">
                  <c:v>9.2928227854387938E-2</c:v>
                </c:pt>
                <c:pt idx="126">
                  <c:v>8.7215597623461399E-2</c:v>
                </c:pt>
                <c:pt idx="127">
                  <c:v>7.6877746340620251E-2</c:v>
                </c:pt>
                <c:pt idx="128">
                  <c:v>7.2203631887348366E-2</c:v>
                </c:pt>
                <c:pt idx="129">
                  <c:v>6.3735639770565386E-2</c:v>
                </c:pt>
                <c:pt idx="130">
                  <c:v>5.9902614856685327E-2</c:v>
                </c:pt>
                <c:pt idx="131">
                  <c:v>5.2950811760349673E-2</c:v>
                </c:pt>
                <c:pt idx="132">
                  <c:v>4.9800608001077218E-2</c:v>
                </c:pt>
                <c:pt idx="133">
                  <c:v>4.4081109732939862E-2</c:v>
                </c:pt>
                <c:pt idx="134">
                  <c:v>4.1486524884197525E-2</c:v>
                </c:pt>
                <c:pt idx="135">
                  <c:v>3.6770889707596295E-2</c:v>
                </c:pt>
                <c:pt idx="136">
                  <c:v>3.4629437102621674E-2</c:v>
                </c:pt>
                <c:pt idx="137">
                  <c:v>3.0733391023971372E-2</c:v>
                </c:pt>
                <c:pt idx="138">
                  <c:v>2.8962299892730886E-2</c:v>
                </c:pt>
                <c:pt idx="139">
                  <c:v>2.5736847156905985E-2</c:v>
                </c:pt>
                <c:pt idx="140">
                  <c:v>2.4269114795334848E-2</c:v>
                </c:pt>
                <c:pt idx="141">
                  <c:v>2.1593508712868133E-2</c:v>
                </c:pt>
                <c:pt idx="142">
                  <c:v>2.0374774413641383E-2</c:v>
                </c:pt>
                <c:pt idx="143">
                  <c:v>1.8150943872854052E-2</c:v>
                </c:pt>
                <c:pt idx="144">
                  <c:v>1.7137006890117892E-2</c:v>
                </c:pt>
                <c:pt idx="145">
                  <c:v>1.5285125426052228E-2</c:v>
                </c:pt>
                <c:pt idx="146">
                  <c:v>1.443996919453743E-2</c:v>
                </c:pt>
                <c:pt idx="147">
                  <c:v>1.2894923457517268E-2</c:v>
                </c:pt>
                <c:pt idx="148">
                  <c:v>1.2189138893172767E-2</c:v>
                </c:pt>
                <c:pt idx="149">
                  <c:v>1.0897707074196841E-2</c:v>
                </c:pt>
                <c:pt idx="150">
                  <c:v>1.0307231325195159E-2</c:v>
                </c:pt>
                <c:pt idx="151">
                  <c:v>9.225823486227424E-3</c:v>
                </c:pt>
                <c:pt idx="152">
                  <c:v>8.7309286768948759E-3</c:v>
                </c:pt>
                <c:pt idx="153">
                  <c:v>7.8237729415710135E-3</c:v>
                </c:pt>
                <c:pt idx="154">
                  <c:v>7.4082535294941881E-3</c:v>
                </c:pt>
                <c:pt idx="155">
                  <c:v>6.6459369231810887E-3</c:v>
                </c:pt>
                <c:pt idx="156">
                  <c:v>6.2964552296921848E-3</c:v>
                </c:pt>
                <c:pt idx="157">
                  <c:v>5.6547472854352587E-3</c:v>
                </c:pt>
                <c:pt idx="158">
                  <c:v>5.360305287090401E-3</c:v>
                </c:pt>
                <c:pt idx="159">
                  <c:v>4.8192076210081519E-3</c:v>
                </c:pt>
                <c:pt idx="160">
                  <c:v>4.5707197557397381E-3</c:v>
                </c:pt>
                <c:pt idx="161">
                  <c:v>4.113696625436444E-3</c:v>
                </c:pt>
                <c:pt idx="162">
                  <c:v>3.9036435923997604E-3</c:v>
                </c:pt>
                <c:pt idx="163">
                  <c:v>3.5169977215938754E-3</c:v>
                </c:pt>
                <c:pt idx="164">
                  <c:v>3.3391453604776624E-3</c:v>
                </c:pt>
                <c:pt idx="165">
                  <c:v>3.0115106074610231E-3</c:v>
                </c:pt>
                <c:pt idx="166">
                  <c:v>2.860681178789101E-3</c:v>
                </c:pt>
                <c:pt idx="167">
                  <c:v>2.5826093806201591E-3</c:v>
                </c:pt>
                <c:pt idx="168">
                  <c:v>2.4544951242463351E-3</c:v>
                </c:pt>
                <c:pt idx="169">
                  <c:v>2.218118998741617E-3</c:v>
                </c:pt>
                <c:pt idx="170">
                  <c:v>2.1091298709990428E-3</c:v>
                </c:pt>
                <c:pt idx="171">
                  <c:v>1.9078874648805206E-3</c:v>
                </c:pt>
                <c:pt idx="172">
                  <c:v>1.8150265602354515E-3</c:v>
                </c:pt>
                <c:pt idx="173">
                  <c:v>1.6434355963880997E-3</c:v>
                </c:pt>
                <c:pt idx="174">
                  <c:v>1.5641970360703056E-3</c:v>
                </c:pt>
                <c:pt idx="175">
                  <c:v>1.417669793237551E-3</c:v>
                </c:pt>
                <c:pt idx="176">
                  <c:v>1.349954880671141E-3</c:v>
                </c:pt>
                <c:pt idx="177">
                  <c:v>1.2246460580417127E-3</c:v>
                </c:pt>
                <c:pt idx="178">
                  <c:v>1.1666943133226482E-3</c:v>
                </c:pt>
                <c:pt idx="179">
                  <c:v>1.0593757866163584E-3</c:v>
                </c:pt>
                <c:pt idx="180">
                  <c:v>1.0097081223718433E-3</c:v>
                </c:pt>
                <c:pt idx="181">
                  <c:v>9.1766566276810149E-4</c:v>
                </c:pt>
                <c:pt idx="182">
                  <c:v>8.7503748495496394E-4</c:v>
                </c:pt>
                <c:pt idx="183">
                  <c:v>7.9598544695564581E-4</c:v>
                </c:pt>
                <c:pt idx="184">
                  <c:v>7.593478828640301E-4</c:v>
                </c:pt>
                <c:pt idx="185">
                  <c:v>6.9135861879275325E-4</c:v>
                </c:pt>
                <c:pt idx="186">
                  <c:v>6.5982641151783768E-4</c:v>
                </c:pt>
                <c:pt idx="187">
                  <c:v>6.0127177584510616E-4</c:v>
                </c:pt>
                <c:pt idx="188">
                  <c:v>5.7409665622332043E-4</c:v>
                </c:pt>
                <c:pt idx="189">
                  <c:v>5.2359945157699121E-4</c:v>
                </c:pt>
                <c:pt idx="190">
                  <c:v>5.0014801809220423E-4</c:v>
                </c:pt>
                <c:pt idx="191">
                  <c:v>4.5654162991481842E-4</c:v>
                </c:pt>
                <c:pt idx="192">
                  <c:v>4.3627694471850187E-4</c:v>
                </c:pt>
                <c:pt idx="193">
                  <c:v>3.9857173154941573E-4</c:v>
                </c:pt>
                <c:pt idx="194">
                  <c:v>3.8103798474568791E-4</c:v>
                </c:pt>
                <c:pt idx="195">
                  <c:v>3.4839325075673293E-4</c:v>
                </c:pt>
                <c:pt idx="196">
                  <c:v>3.3320296204740555E-4</c:v>
                </c:pt>
                <c:pt idx="197">
                  <c:v>3.049035494940202E-4</c:v>
                </c:pt>
                <c:pt idx="198">
                  <c:v>2.9172687140724385E-4</c:v>
                </c:pt>
                <c:pt idx="199">
                  <c:v>2.671635824641127E-4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2A-4A43-97FD-E7B1AD4F0C19}"/>
            </c:ext>
          </c:extLst>
        </c:ser>
        <c:ser>
          <c:idx val="4"/>
          <c:order val="4"/>
          <c:tx>
            <c:strRef>
              <c:f>TL!$AC$34</c:f>
              <c:strCache>
                <c:ptCount val="1"/>
                <c:pt idx="0">
                  <c:v>I3</c:v>
                </c:pt>
              </c:strCache>
            </c:strRef>
          </c:tx>
          <c:spPr>
            <a:ln w="1905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TL!$AC$35:$AC$384</c:f>
              <c:numCache>
                <c:formatCode>General</c:formatCode>
                <c:ptCount val="350"/>
                <c:pt idx="0">
                  <c:v>1.0011751874499908</c:v>
                </c:pt>
                <c:pt idx="1">
                  <c:v>1.1632907631487719</c:v>
                </c:pt>
                <c:pt idx="2">
                  <c:v>1.3504128898167473</c:v>
                </c:pt>
                <c:pt idx="3">
                  <c:v>1.8148387691662637</c:v>
                </c:pt>
                <c:pt idx="4">
                  <c:v>2.430262884249232</c:v>
                </c:pt>
                <c:pt idx="5">
                  <c:v>2.8085751429480146</c:v>
                </c:pt>
                <c:pt idx="6">
                  <c:v>3.7412714093307744</c:v>
                </c:pt>
                <c:pt idx="7">
                  <c:v>4.3124725053139237</c:v>
                </c:pt>
                <c:pt idx="8">
                  <c:v>4.9666655918949028</c:v>
                </c:pt>
                <c:pt idx="9">
                  <c:v>6.5712726352617032</c:v>
                </c:pt>
                <c:pt idx="10">
                  <c:v>8.665598624734649</c:v>
                </c:pt>
                <c:pt idx="11">
                  <c:v>9.9389988672357585</c:v>
                </c:pt>
                <c:pt idx="12">
                  <c:v>13.0432300907793</c:v>
                </c:pt>
                <c:pt idx="13">
                  <c:v>14.924149778316439</c:v>
                </c:pt>
                <c:pt idx="14">
                  <c:v>19.4930388460476</c:v>
                </c:pt>
                <c:pt idx="15">
                  <c:v>22.252089836599545</c:v>
                </c:pt>
                <c:pt idx="16">
                  <c:v>28.930766325914856</c:v>
                </c:pt>
                <c:pt idx="17">
                  <c:v>32.950598436581473</c:v>
                </c:pt>
                <c:pt idx="18">
                  <c:v>42.648233304652059</c:v>
                </c:pt>
                <c:pt idx="19">
                  <c:v>48.466385784261384</c:v>
                </c:pt>
                <c:pt idx="20">
                  <c:v>62.455967706114272</c:v>
                </c:pt>
                <c:pt idx="21">
                  <c:v>70.822716777415422</c:v>
                </c:pt>
                <c:pt idx="22">
                  <c:v>80.25320913353687</c:v>
                </c:pt>
                <c:pt idx="23">
                  <c:v>102.83118823079066</c:v>
                </c:pt>
                <c:pt idx="24">
                  <c:v>131.39509473527679</c:v>
                </c:pt>
                <c:pt idx="25">
                  <c:v>148.37425321474547</c:v>
                </c:pt>
                <c:pt idx="26">
                  <c:v>188.81295651580095</c:v>
                </c:pt>
                <c:pt idx="27">
                  <c:v>212.77930927132752</c:v>
                </c:pt>
                <c:pt idx="28">
                  <c:v>269.68405282695801</c:v>
                </c:pt>
                <c:pt idx="29">
                  <c:v>303.3099983117325</c:v>
                </c:pt>
                <c:pt idx="30">
                  <c:v>340.90430397996454</c:v>
                </c:pt>
                <c:pt idx="31">
                  <c:v>429.80554341839553</c:v>
                </c:pt>
                <c:pt idx="32">
                  <c:v>540.48386149420082</c:v>
                </c:pt>
                <c:pt idx="33">
                  <c:v>605.50384318565784</c:v>
                </c:pt>
                <c:pt idx="34">
                  <c:v>758.48254729638904</c:v>
                </c:pt>
                <c:pt idx="35">
                  <c:v>848.08737081245226</c:v>
                </c:pt>
                <c:pt idx="36">
                  <c:v>947.667513705234</c:v>
                </c:pt>
                <c:pt idx="37">
                  <c:v>1180.9902551282971</c:v>
                </c:pt>
                <c:pt idx="38">
                  <c:v>1317.1028828980566</c:v>
                </c:pt>
                <c:pt idx="39">
                  <c:v>1634.9959116752634</c:v>
                </c:pt>
                <c:pt idx="40">
                  <c:v>1819.8544943574448</c:v>
                </c:pt>
                <c:pt idx="41">
                  <c:v>2250.129794133562</c:v>
                </c:pt>
                <c:pt idx="42">
                  <c:v>2774.5845365243204</c:v>
                </c:pt>
                <c:pt idx="43">
                  <c:v>3077.7989524764193</c:v>
                </c:pt>
                <c:pt idx="44">
                  <c:v>3411.7240772487944</c:v>
                </c:pt>
                <c:pt idx="45">
                  <c:v>4183.029642354908</c:v>
                </c:pt>
                <c:pt idx="46">
                  <c:v>5113.1926687963169</c:v>
                </c:pt>
                <c:pt idx="47">
                  <c:v>5646.4769501828141</c:v>
                </c:pt>
                <c:pt idx="48">
                  <c:v>6868.5510893944729</c:v>
                </c:pt>
                <c:pt idx="49">
                  <c:v>7565.5853691287266</c:v>
                </c:pt>
                <c:pt idx="50">
                  <c:v>8325.7538007734347</c:v>
                </c:pt>
                <c:pt idx="51">
                  <c:v>10053.815926625935</c:v>
                </c:pt>
                <c:pt idx="52">
                  <c:v>11031.134368231631</c:v>
                </c:pt>
                <c:pt idx="53">
                  <c:v>13236.176165408358</c:v>
                </c:pt>
                <c:pt idx="54">
                  <c:v>15805.975073733216</c:v>
                </c:pt>
                <c:pt idx="55">
                  <c:v>17238.385668801031</c:v>
                </c:pt>
                <c:pt idx="56">
                  <c:v>20415.900730990372</c:v>
                </c:pt>
                <c:pt idx="57">
                  <c:v>22165.995851491167</c:v>
                </c:pt>
                <c:pt idx="58">
                  <c:v>25993.667303960581</c:v>
                </c:pt>
                <c:pt idx="59">
                  <c:v>28069.054941465594</c:v>
                </c:pt>
                <c:pt idx="60">
                  <c:v>32523.706342018359</c:v>
                </c:pt>
                <c:pt idx="61">
                  <c:v>34888.404879478192</c:v>
                </c:pt>
                <c:pt idx="62">
                  <c:v>39834.738348585954</c:v>
                </c:pt>
                <c:pt idx="63">
                  <c:v>42383.200350909319</c:v>
                </c:pt>
                <c:pt idx="64">
                  <c:v>44953.388330166461</c:v>
                </c:pt>
                <c:pt idx="65">
                  <c:v>50048.467619595533</c:v>
                </c:pt>
                <c:pt idx="66">
                  <c:v>52507.17504617438</c:v>
                </c:pt>
                <c:pt idx="67">
                  <c:v>57049.257682837961</c:v>
                </c:pt>
                <c:pt idx="68">
                  <c:v>60783.927630423976</c:v>
                </c:pt>
                <c:pt idx="69">
                  <c:v>62223.885148427369</c:v>
                </c:pt>
                <c:pt idx="70">
                  <c:v>63995.457263569049</c:v>
                </c:pt>
                <c:pt idx="71">
                  <c:v>64232.677245847866</c:v>
                </c:pt>
                <c:pt idx="72">
                  <c:v>63983.796322669485</c:v>
                </c:pt>
                <c:pt idx="73">
                  <c:v>61921.703047912248</c:v>
                </c:pt>
                <c:pt idx="74">
                  <c:v>57731.733431525463</c:v>
                </c:pt>
                <c:pt idx="75">
                  <c:v>54885.533760755221</c:v>
                </c:pt>
                <c:pt idx="76">
                  <c:v>47948.309361827225</c:v>
                </c:pt>
                <c:pt idx="77">
                  <c:v>44015.064438115674</c:v>
                </c:pt>
                <c:pt idx="78">
                  <c:v>35717.264613064479</c:v>
                </c:pt>
                <c:pt idx="79">
                  <c:v>31571.463744770226</c:v>
                </c:pt>
                <c:pt idx="80">
                  <c:v>23798.247824334416</c:v>
                </c:pt>
                <c:pt idx="81">
                  <c:v>20331.718698496476</c:v>
                </c:pt>
                <c:pt idx="82">
                  <c:v>14471.94492936415</c:v>
                </c:pt>
                <c:pt idx="83">
                  <c:v>12100.495180195801</c:v>
                </c:pt>
                <c:pt idx="84">
                  <c:v>8387.8615666888818</c:v>
                </c:pt>
                <c:pt idx="85">
                  <c:v>6978.0624695572469</c:v>
                </c:pt>
                <c:pt idx="86">
                  <c:v>4855.8459047873293</c:v>
                </c:pt>
                <c:pt idx="87">
                  <c:v>4069.8637701590842</c:v>
                </c:pt>
                <c:pt idx="88">
                  <c:v>2895.0992751667345</c:v>
                </c:pt>
                <c:pt idx="89">
                  <c:v>2458.7018053166421</c:v>
                </c:pt>
                <c:pt idx="90">
                  <c:v>1798.8772080232213</c:v>
                </c:pt>
                <c:pt idx="91">
                  <c:v>1549.563332541692</c:v>
                </c:pt>
                <c:pt idx="92">
                  <c:v>1340.8551528539367</c:v>
                </c:pt>
                <c:pt idx="93">
                  <c:v>1016.956447481924</c:v>
                </c:pt>
                <c:pt idx="94">
                  <c:v>890.98895248839449</c:v>
                </c:pt>
                <c:pt idx="95">
                  <c:v>691.46357342984072</c:v>
                </c:pt>
                <c:pt idx="96">
                  <c:v>543.75979800070979</c:v>
                </c:pt>
                <c:pt idx="97">
                  <c:v>484.35669721957845</c:v>
                </c:pt>
                <c:pt idx="98">
                  <c:v>432.62421369691634</c:v>
                </c:pt>
                <c:pt idx="99">
                  <c:v>347.75560592630728</c:v>
                </c:pt>
                <c:pt idx="100">
                  <c:v>312.86605673762085</c:v>
                </c:pt>
                <c:pt idx="101">
                  <c:v>254.81866293374199</c:v>
                </c:pt>
                <c:pt idx="102">
                  <c:v>230.62771694904399</c:v>
                </c:pt>
                <c:pt idx="103">
                  <c:v>189.89661233112872</c:v>
                </c:pt>
                <c:pt idx="104">
                  <c:v>172.72525811773008</c:v>
                </c:pt>
                <c:pt idx="105">
                  <c:v>143.51934384697284</c:v>
                </c:pt>
                <c:pt idx="106">
                  <c:v>131.08618956361005</c:v>
                </c:pt>
                <c:pt idx="107">
                  <c:v>109.75717824123501</c:v>
                </c:pt>
                <c:pt idx="108">
                  <c:v>100.6020442805918</c:v>
                </c:pt>
                <c:pt idx="109">
                  <c:v>84.781615316038014</c:v>
                </c:pt>
                <c:pt idx="110">
                  <c:v>77.943162459665871</c:v>
                </c:pt>
                <c:pt idx="111">
                  <c:v>66.052340955961313</c:v>
                </c:pt>
                <c:pt idx="112">
                  <c:v>60.881598870697367</c:v>
                </c:pt>
                <c:pt idx="113">
                  <c:v>51.842528169111731</c:v>
                </c:pt>
                <c:pt idx="114">
                  <c:v>47.891593374898548</c:v>
                </c:pt>
                <c:pt idx="115">
                  <c:v>40.953011183240079</c:v>
                </c:pt>
                <c:pt idx="116">
                  <c:v>37.906661581823116</c:v>
                </c:pt>
                <c:pt idx="117">
                  <c:v>32.535247495421295</c:v>
                </c:pt>
                <c:pt idx="118">
                  <c:v>27.987744633710832</c:v>
                </c:pt>
                <c:pt idx="119">
                  <c:v>25.978786098549055</c:v>
                </c:pt>
                <c:pt idx="120">
                  <c:v>24.126188059254176</c:v>
                </c:pt>
                <c:pt idx="121">
                  <c:v>20.838026849203729</c:v>
                </c:pt>
                <c:pt idx="122">
                  <c:v>19.379449488841537</c:v>
                </c:pt>
                <c:pt idx="123">
                  <c:v>16.78351356494332</c:v>
                </c:pt>
                <c:pt idx="124">
                  <c:v>14.559642066426543</c:v>
                </c:pt>
                <c:pt idx="125">
                  <c:v>13.568900747452211</c:v>
                </c:pt>
                <c:pt idx="126">
                  <c:v>12.650450611030626</c:v>
                </c:pt>
                <c:pt idx="127">
                  <c:v>11.008147006166119</c:v>
                </c:pt>
                <c:pt idx="128">
                  <c:v>10.274328020906099</c:v>
                </c:pt>
                <c:pt idx="129">
                  <c:v>8.9595121417814916</c:v>
                </c:pt>
                <c:pt idx="130">
                  <c:v>8.3709627095240666</c:v>
                </c:pt>
                <c:pt idx="131">
                  <c:v>7.3142399148594857</c:v>
                </c:pt>
                <c:pt idx="132">
                  <c:v>6.84026524447928</c:v>
                </c:pt>
                <c:pt idx="133">
                  <c:v>5.9879931233283212</c:v>
                </c:pt>
                <c:pt idx="134">
                  <c:v>5.6050714847392733</c:v>
                </c:pt>
                <c:pt idx="135">
                  <c:v>4.9154269864613607</c:v>
                </c:pt>
                <c:pt idx="136">
                  <c:v>4.6050822422845661</c:v>
                </c:pt>
                <c:pt idx="137">
                  <c:v>4.0453149873101655</c:v>
                </c:pt>
                <c:pt idx="138">
                  <c:v>3.7930416005446208</c:v>
                </c:pt>
                <c:pt idx="139">
                  <c:v>3.3373781045529411</c:v>
                </c:pt>
                <c:pt idx="140">
                  <c:v>3.1317339010330811</c:v>
                </c:pt>
                <c:pt idx="141">
                  <c:v>2.7597995365614394</c:v>
                </c:pt>
                <c:pt idx="142">
                  <c:v>2.5917198027499659</c:v>
                </c:pt>
                <c:pt idx="143">
                  <c:v>2.2873412956938854</c:v>
                </c:pt>
                <c:pt idx="144">
                  <c:v>2.1496163644712309</c:v>
                </c:pt>
                <c:pt idx="145">
                  <c:v>1.8999066483298452</c:v>
                </c:pt>
                <c:pt idx="146">
                  <c:v>1.7867813392578893</c:v>
                </c:pt>
                <c:pt idx="147">
                  <c:v>1.5814357309025249</c:v>
                </c:pt>
                <c:pt idx="148">
                  <c:v>1.4883003607053682</c:v>
                </c:pt>
                <c:pt idx="149">
                  <c:v>1.3190521330889584</c:v>
                </c:pt>
                <c:pt idx="150">
                  <c:v>1.2422028519636994</c:v>
                </c:pt>
                <c:pt idx="151">
                  <c:v>1.1023998932696313</c:v>
                </c:pt>
                <c:pt idx="152">
                  <c:v>1.0388518617931199</c:v>
                </c:pt>
                <c:pt idx="153">
                  <c:v>0.9231259129165359</c:v>
                </c:pt>
                <c:pt idx="154">
                  <c:v>0.87046700244221054</c:v>
                </c:pt>
                <c:pt idx="155">
                  <c:v>0.77447409292913971</c:v>
                </c:pt>
                <c:pt idx="156">
                  <c:v>0.73074983786176861</c:v>
                </c:pt>
                <c:pt idx="157">
                  <c:v>0.6509657716973779</c:v>
                </c:pt>
                <c:pt idx="158">
                  <c:v>0.61458854688172349</c:v>
                </c:pt>
                <c:pt idx="159">
                  <c:v>0.54814716115343332</c:v>
                </c:pt>
                <c:pt idx="160">
                  <c:v>0.51782422572967157</c:v>
                </c:pt>
                <c:pt idx="161">
                  <c:v>0.46238903288735794</c:v>
                </c:pt>
                <c:pt idx="162">
                  <c:v>0.43706533076688103</c:v>
                </c:pt>
                <c:pt idx="163">
                  <c:v>0.39072732443125968</c:v>
                </c:pt>
                <c:pt idx="164">
                  <c:v>0.36953987284051332</c:v>
                </c:pt>
                <c:pt idx="165">
                  <c:v>0.33073591733729063</c:v>
                </c:pt>
                <c:pt idx="166">
                  <c:v>0.31297732884930124</c:v>
                </c:pt>
                <c:pt idx="167">
                  <c:v>0.28042480036281359</c:v>
                </c:pt>
                <c:pt idx="168">
                  <c:v>0.26551402851463807</c:v>
                </c:pt>
                <c:pt idx="169">
                  <c:v>0.23815833015494664</c:v>
                </c:pt>
                <c:pt idx="170">
                  <c:v>0.22561714648601153</c:v>
                </c:pt>
                <c:pt idx="171">
                  <c:v>0.20258945332900347</c:v>
                </c:pt>
                <c:pt idx="172">
                  <c:v>0.19202348562396354</c:v>
                </c:pt>
                <c:pt idx="173">
                  <c:v>0.17260664257648359</c:v>
                </c:pt>
                <c:pt idx="174">
                  <c:v>0.16369005334342052</c:v>
                </c:pt>
                <c:pt idx="175">
                  <c:v>0.1472909884060456</c:v>
                </c:pt>
                <c:pt idx="176">
                  <c:v>0.1397540663909255</c:v>
                </c:pt>
                <c:pt idx="177">
                  <c:v>0.12588142440415431</c:v>
                </c:pt>
                <c:pt idx="178">
                  <c:v>0.11950051316872094</c:v>
                </c:pt>
                <c:pt idx="179">
                  <c:v>0.10774648292339471</c:v>
                </c:pt>
                <c:pt idx="180">
                  <c:v>0.10233578896358188</c:v>
                </c:pt>
                <c:pt idx="181">
                  <c:v>9.2361306664706502E-2</c:v>
                </c:pt>
                <c:pt idx="182">
                  <c:v>8.7766222637458452E-2</c:v>
                </c:pt>
                <c:pt idx="183">
                  <c:v>7.9288900097973833E-2</c:v>
                </c:pt>
                <c:pt idx="184">
                  <c:v>7.538055211689916E-2</c:v>
                </c:pt>
                <c:pt idx="185">
                  <c:v>6.8164808642909719E-2</c:v>
                </c:pt>
                <c:pt idx="186">
                  <c:v>6.4835594638000718E-2</c:v>
                </c:pt>
                <c:pt idx="187">
                  <c:v>5.8684574971538853E-2</c:v>
                </c:pt>
                <c:pt idx="188">
                  <c:v>5.5844507128022032E-2</c:v>
                </c:pt>
                <c:pt idx="189">
                  <c:v>5.0593449919052388E-2</c:v>
                </c:pt>
                <c:pt idx="190">
                  <c:v>4.8167150800018828E-2</c:v>
                </c:pt>
                <c:pt idx="191">
                  <c:v>4.3677937442657411E-2</c:v>
                </c:pt>
                <c:pt idx="192">
                  <c:v>4.1602168565524789E-2</c:v>
                </c:pt>
                <c:pt idx="193">
                  <c:v>3.7758834397020553E-2</c:v>
                </c:pt>
                <c:pt idx="194">
                  <c:v>3.5980459337698965E-2</c:v>
                </c:pt>
                <c:pt idx="195">
                  <c:v>3.2685490926604693E-2</c:v>
                </c:pt>
                <c:pt idx="196">
                  <c:v>3.115979368855026E-2</c:v>
                </c:pt>
                <c:pt idx="197">
                  <c:v>2.8331069393998733E-2</c:v>
                </c:pt>
                <c:pt idx="198">
                  <c:v>2.7020363759392201E-2</c:v>
                </c:pt>
                <c:pt idx="199">
                  <c:v>2.4588621624856574E-2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2A-4A43-97FD-E7B1AD4F0C19}"/>
            </c:ext>
          </c:extLst>
        </c:ser>
        <c:ser>
          <c:idx val="5"/>
          <c:order val="5"/>
          <c:tx>
            <c:strRef>
              <c:f>TL!$AD$34</c:f>
              <c:strCache>
                <c:ptCount val="1"/>
                <c:pt idx="0">
                  <c:v>I4</c:v>
                </c:pt>
              </c:strCache>
            </c:strRef>
          </c:tx>
          <c:spPr>
            <a:ln w="19050"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TL!$AD$35:$AD$384</c:f>
              <c:numCache>
                <c:formatCode>General</c:formatCode>
                <c:ptCount val="350"/>
                <c:pt idx="0">
                  <c:v>4.6022337209392309E-3</c:v>
                </c:pt>
                <c:pt idx="1">
                  <c:v>5.5139646393329925E-3</c:v>
                </c:pt>
                <c:pt idx="2">
                  <c:v>6.5989937439756398E-3</c:v>
                </c:pt>
                <c:pt idx="3">
                  <c:v>9.4205902639800335E-3</c:v>
                </c:pt>
                <c:pt idx="4">
                  <c:v>1.3390739701027256E-2</c:v>
                </c:pt>
                <c:pt idx="5">
                  <c:v>1.5939536181171318E-2</c:v>
                </c:pt>
                <c:pt idx="6">
                  <c:v>2.2514093132366891E-2</c:v>
                </c:pt>
                <c:pt idx="7">
                  <c:v>2.6715929509855494E-2</c:v>
                </c:pt>
                <c:pt idx="8">
                  <c:v>3.1669590073299746E-2</c:v>
                </c:pt>
                <c:pt idx="9">
                  <c:v>4.4368169687196139E-2</c:v>
                </c:pt>
                <c:pt idx="10">
                  <c:v>6.1911710286809002E-2</c:v>
                </c:pt>
                <c:pt idx="11">
                  <c:v>7.3027268104793389E-2</c:v>
                </c:pt>
                <c:pt idx="12">
                  <c:v>0.10130979633498241</c:v>
                </c:pt>
                <c:pt idx="13">
                  <c:v>0.11915517595837546</c:v>
                </c:pt>
                <c:pt idx="14">
                  <c:v>0.16436540812543265</c:v>
                </c:pt>
                <c:pt idx="15">
                  <c:v>0.19277625734381659</c:v>
                </c:pt>
                <c:pt idx="16">
                  <c:v>0.26445143049967573</c:v>
                </c:pt>
                <c:pt idx="17">
                  <c:v>0.30931573558006092</c:v>
                </c:pt>
                <c:pt idx="18">
                  <c:v>0.42203728088469139</c:v>
                </c:pt>
                <c:pt idx="19">
                  <c:v>0.49232300694910192</c:v>
                </c:pt>
                <c:pt idx="20">
                  <c:v>0.66821285118296136</c:v>
                </c:pt>
                <c:pt idx="21">
                  <c:v>0.77747526983562598</c:v>
                </c:pt>
                <c:pt idx="22">
                  <c:v>0.90383429094684786</c:v>
                </c:pt>
                <c:pt idx="23">
                  <c:v>1.2184201043718168</c:v>
                </c:pt>
                <c:pt idx="24">
                  <c:v>1.6370575231193227</c:v>
                </c:pt>
                <c:pt idx="25">
                  <c:v>1.8952405628925926</c:v>
                </c:pt>
                <c:pt idx="26">
                  <c:v>2.5340414527850523</c:v>
                </c:pt>
                <c:pt idx="27">
                  <c:v>2.9266341898571588</c:v>
                </c:pt>
                <c:pt idx="28">
                  <c:v>3.8945037305926791</c:v>
                </c:pt>
                <c:pt idx="29">
                  <c:v>4.4873158617759268</c:v>
                </c:pt>
                <c:pt idx="30">
                  <c:v>5.1663829424705989</c:v>
                </c:pt>
                <c:pt idx="31">
                  <c:v>6.8327192795607807</c:v>
                </c:pt>
                <c:pt idx="32">
                  <c:v>9.0093672834361129</c:v>
                </c:pt>
                <c:pt idx="33">
                  <c:v>10.333829390019224</c:v>
                </c:pt>
                <c:pt idx="34">
                  <c:v>13.56567010209476</c:v>
                </c:pt>
                <c:pt idx="35">
                  <c:v>15.525986446117175</c:v>
                </c:pt>
                <c:pt idx="36">
                  <c:v>17.756842123575439</c:v>
                </c:pt>
                <c:pt idx="37">
                  <c:v>23.176835208171301</c:v>
                </c:pt>
                <c:pt idx="38">
                  <c:v>26.450915993648209</c:v>
                </c:pt>
                <c:pt idx="39">
                  <c:v>34.380340471663018</c:v>
                </c:pt>
                <c:pt idx="40">
                  <c:v>39.155930318827259</c:v>
                </c:pt>
                <c:pt idx="41">
                  <c:v>50.686061834159247</c:v>
                </c:pt>
                <c:pt idx="42">
                  <c:v>65.435793225488425</c:v>
                </c:pt>
                <c:pt idx="43">
                  <c:v>74.275803494809281</c:v>
                </c:pt>
                <c:pt idx="44">
                  <c:v>84.254747387780881</c:v>
                </c:pt>
                <c:pt idx="45">
                  <c:v>108.20346871624558</c:v>
                </c:pt>
                <c:pt idx="46">
                  <c:v>138.60233133042735</c:v>
                </c:pt>
                <c:pt idx="47">
                  <c:v>156.71859141319004</c:v>
                </c:pt>
                <c:pt idx="48">
                  <c:v>199.98583001612474</c:v>
                </c:pt>
                <c:pt idx="49">
                  <c:v>225.69969359403757</c:v>
                </c:pt>
                <c:pt idx="50">
                  <c:v>254.56157702848375</c:v>
                </c:pt>
                <c:pt idx="51">
                  <c:v>323.23033414479539</c:v>
                </c:pt>
                <c:pt idx="52">
                  <c:v>363.89137721028209</c:v>
                </c:pt>
                <c:pt idx="53">
                  <c:v>460.35826083525296</c:v>
                </c:pt>
                <c:pt idx="54">
                  <c:v>580.98484927018785</c:v>
                </c:pt>
                <c:pt idx="55">
                  <c:v>652.08580513993411</c:v>
                </c:pt>
                <c:pt idx="56">
                  <c:v>819.9673853084463</c:v>
                </c:pt>
                <c:pt idx="57">
                  <c:v>918.646095511098</c:v>
                </c:pt>
                <c:pt idx="58">
                  <c:v>1150.9611185088809</c:v>
                </c:pt>
                <c:pt idx="59">
                  <c:v>1287.1218476151105</c:v>
                </c:pt>
                <c:pt idx="60">
                  <c:v>1606.7065288644101</c:v>
                </c:pt>
                <c:pt idx="61">
                  <c:v>1793.455866202607</c:v>
                </c:pt>
                <c:pt idx="62">
                  <c:v>2230.374974381491</c:v>
                </c:pt>
                <c:pt idx="63">
                  <c:v>2484.875049184639</c:v>
                </c:pt>
                <c:pt idx="64">
                  <c:v>2766.6112585462615</c:v>
                </c:pt>
                <c:pt idx="65">
                  <c:v>3422.6856517222946</c:v>
                </c:pt>
                <c:pt idx="66">
                  <c:v>3803.0415906464641</c:v>
                </c:pt>
                <c:pt idx="67">
                  <c:v>4685.2690153263175</c:v>
                </c:pt>
                <c:pt idx="68">
                  <c:v>5755.0536834144832</c:v>
                </c:pt>
                <c:pt idx="69">
                  <c:v>6370.8705027668502</c:v>
                </c:pt>
                <c:pt idx="70">
                  <c:v>7787.9189578858695</c:v>
                </c:pt>
                <c:pt idx="71">
                  <c:v>8599.3669195174716</c:v>
                </c:pt>
                <c:pt idx="72">
                  <c:v>9486.6444100507579</c:v>
                </c:pt>
                <c:pt idx="73">
                  <c:v>11511.537349123637</c:v>
                </c:pt>
                <c:pt idx="74">
                  <c:v>13909.562769318462</c:v>
                </c:pt>
                <c:pt idx="75">
                  <c:v>15263.365109479342</c:v>
                </c:pt>
                <c:pt idx="76">
                  <c:v>18309.14826896743</c:v>
                </c:pt>
                <c:pt idx="77">
                  <c:v>20011.533768427515</c:v>
                </c:pt>
                <c:pt idx="78">
                  <c:v>23796.517300962747</c:v>
                </c:pt>
                <c:pt idx="79">
                  <c:v>25884.705631276414</c:v>
                </c:pt>
                <c:pt idx="80">
                  <c:v>30455.697931666102</c:v>
                </c:pt>
                <c:pt idx="81">
                  <c:v>32934.007459647299</c:v>
                </c:pt>
                <c:pt idx="82">
                  <c:v>38245.610441493154</c:v>
                </c:pt>
                <c:pt idx="83">
                  <c:v>41056.938630800672</c:v>
                </c:pt>
                <c:pt idx="84">
                  <c:v>46905.554381794405</c:v>
                </c:pt>
                <c:pt idx="85">
                  <c:v>49894.685057507224</c:v>
                </c:pt>
                <c:pt idx="86">
                  <c:v>55841.827548501329</c:v>
                </c:pt>
                <c:pt idx="87">
                  <c:v>58718.202528384179</c:v>
                </c:pt>
                <c:pt idx="88">
                  <c:v>64028.794156915232</c:v>
                </c:pt>
                <c:pt idx="89">
                  <c:v>66347.88929168343</c:v>
                </c:pt>
                <c:pt idx="90">
                  <c:v>69996.247842208453</c:v>
                </c:pt>
                <c:pt idx="91">
                  <c:v>71193.040002490801</c:v>
                </c:pt>
                <c:pt idx="92">
                  <c:v>71885.247412364784</c:v>
                </c:pt>
                <c:pt idx="93">
                  <c:v>71528.362139178964</c:v>
                </c:pt>
                <c:pt idx="94">
                  <c:v>70390.582155187687</c:v>
                </c:pt>
                <c:pt idx="95">
                  <c:v>66088.84289308096</c:v>
                </c:pt>
                <c:pt idx="96">
                  <c:v>59183.454038166885</c:v>
                </c:pt>
                <c:pt idx="97">
                  <c:v>54882.907951673027</c:v>
                </c:pt>
                <c:pt idx="98">
                  <c:v>50136.096163270267</c:v>
                </c:pt>
                <c:pt idx="99">
                  <c:v>39791.525471950488</c:v>
                </c:pt>
                <c:pt idx="100">
                  <c:v>34474.345336982457</c:v>
                </c:pt>
                <c:pt idx="101">
                  <c:v>24280.030985338773</c:v>
                </c:pt>
                <c:pt idx="102">
                  <c:v>19667.968623872726</c:v>
                </c:pt>
                <c:pt idx="103">
                  <c:v>11905.233569068858</c:v>
                </c:pt>
                <c:pt idx="104">
                  <c:v>8856.7932397963177</c:v>
                </c:pt>
                <c:pt idx="105">
                  <c:v>4426.4222462437838</c:v>
                </c:pt>
                <c:pt idx="106">
                  <c:v>2957.176540300241</c:v>
                </c:pt>
                <c:pt idx="107">
                  <c:v>1160.5608384279656</c:v>
                </c:pt>
                <c:pt idx="108">
                  <c:v>677.11200770027176</c:v>
                </c:pt>
                <c:pt idx="109">
                  <c:v>196.47920400586364</c:v>
                </c:pt>
                <c:pt idx="110">
                  <c:v>97.424517680393251</c:v>
                </c:pt>
                <c:pt idx="111">
                  <c:v>21.589522448820674</c:v>
                </c:pt>
                <c:pt idx="112">
                  <c:v>10.439623472790334</c:v>
                </c:pt>
                <c:pt idx="113">
                  <c:v>3.0669281962176238</c:v>
                </c:pt>
                <c:pt idx="114">
                  <c:v>1.8757568441507164</c:v>
                </c:pt>
                <c:pt idx="115">
                  <c:v>0.84559343896172279</c:v>
                </c:pt>
                <c:pt idx="116">
                  <c:v>0.60918041482249341</c:v>
                </c:pt>
                <c:pt idx="117">
                  <c:v>0.34906606726774481</c:v>
                </c:pt>
                <c:pt idx="118">
                  <c:v>0.22009703839663486</c:v>
                </c:pt>
                <c:pt idx="119">
                  <c:v>0.17945029486878242</c:v>
                </c:pt>
                <c:pt idx="120">
                  <c:v>0.1483854497913942</c:v>
                </c:pt>
                <c:pt idx="121">
                  <c:v>0.10502662461845451</c:v>
                </c:pt>
                <c:pt idx="122">
                  <c:v>8.9630856019198055E-2</c:v>
                </c:pt>
                <c:pt idx="123">
                  <c:v>6.6790098015675925E-2</c:v>
                </c:pt>
                <c:pt idx="124">
                  <c:v>5.1024797064632983E-2</c:v>
                </c:pt>
                <c:pt idx="125">
                  <c:v>4.4942118058627793E-2</c:v>
                </c:pt>
                <c:pt idx="126">
                  <c:v>3.9760058271889595E-2</c:v>
                </c:pt>
                <c:pt idx="127">
                  <c:v>3.1481943111639071E-2</c:v>
                </c:pt>
                <c:pt idx="128">
                  <c:v>2.8156044425565439E-2</c:v>
                </c:pt>
                <c:pt idx="129">
                  <c:v>2.2717288204162252E-2</c:v>
                </c:pt>
                <c:pt idx="130">
                  <c:v>2.0484174628417024E-2</c:v>
                </c:pt>
                <c:pt idx="131">
                  <c:v>1.6766234186151217E-2</c:v>
                </c:pt>
                <c:pt idx="132">
                  <c:v>1.5213891139325661E-2</c:v>
                </c:pt>
                <c:pt idx="133">
                  <c:v>1.2592821702619189E-2</c:v>
                </c:pt>
                <c:pt idx="134">
                  <c:v>1.1483971527277623E-2</c:v>
                </c:pt>
                <c:pt idx="135">
                  <c:v>9.5907304964510144E-3</c:v>
                </c:pt>
                <c:pt idx="136">
                  <c:v>8.7813570286595366E-3</c:v>
                </c:pt>
                <c:pt idx="137">
                  <c:v>7.3869862853259572E-3</c:v>
                </c:pt>
                <c:pt idx="138">
                  <c:v>6.7858205011744653E-3</c:v>
                </c:pt>
                <c:pt idx="139">
                  <c:v>5.742548776637945E-3</c:v>
                </c:pt>
                <c:pt idx="140">
                  <c:v>5.2896344521539303E-3</c:v>
                </c:pt>
                <c:pt idx="141">
                  <c:v>4.4988920979738521E-3</c:v>
                </c:pt>
                <c:pt idx="142">
                  <c:v>4.1536391585599479E-3</c:v>
                </c:pt>
                <c:pt idx="143">
                  <c:v>3.5478287391978065E-3</c:v>
                </c:pt>
                <c:pt idx="144">
                  <c:v>3.2820516741758651E-3</c:v>
                </c:pt>
                <c:pt idx="145">
                  <c:v>2.8137184823833631E-3</c:v>
                </c:pt>
                <c:pt idx="146">
                  <c:v>2.6074205638324834E-3</c:v>
                </c:pt>
                <c:pt idx="147">
                  <c:v>2.2425831977324873E-3</c:v>
                </c:pt>
                <c:pt idx="148">
                  <c:v>2.0813441474818724E-3</c:v>
                </c:pt>
                <c:pt idx="149">
                  <c:v>1.7952461821509587E-3</c:v>
                </c:pt>
                <c:pt idx="150">
                  <c:v>1.6684044216072182E-3</c:v>
                </c:pt>
                <c:pt idx="151">
                  <c:v>1.4427759679772158E-3</c:v>
                </c:pt>
                <c:pt idx="152">
                  <c:v>1.3424798597509373E-3</c:v>
                </c:pt>
                <c:pt idx="153">
                  <c:v>1.1636438928418066E-3</c:v>
                </c:pt>
                <c:pt idx="154">
                  <c:v>1.0839625351792364E-3</c:v>
                </c:pt>
                <c:pt idx="155">
                  <c:v>9.4158104478388107E-4</c:v>
                </c:pt>
                <c:pt idx="156">
                  <c:v>8.7800980157636487E-4</c:v>
                </c:pt>
                <c:pt idx="157">
                  <c:v>7.6419692238918529E-4</c:v>
                </c:pt>
                <c:pt idx="158">
                  <c:v>7.1328527471051207E-4</c:v>
                </c:pt>
                <c:pt idx="159">
                  <c:v>6.2197779994497811E-4</c:v>
                </c:pt>
                <c:pt idx="160">
                  <c:v>5.8106308916074296E-4</c:v>
                </c:pt>
                <c:pt idx="161">
                  <c:v>5.0756686292636707E-4</c:v>
                </c:pt>
                <c:pt idx="162">
                  <c:v>4.745810737678387E-4</c:v>
                </c:pt>
                <c:pt idx="163">
                  <c:v>4.1523973029336698E-4</c:v>
                </c:pt>
                <c:pt idx="164">
                  <c:v>3.8856751219477204E-4</c:v>
                </c:pt>
                <c:pt idx="165">
                  <c:v>3.4051769913598086E-4</c:v>
                </c:pt>
                <c:pt idx="166">
                  <c:v>3.1889088102392358E-4</c:v>
                </c:pt>
                <c:pt idx="167">
                  <c:v>2.798795018848687E-4</c:v>
                </c:pt>
                <c:pt idx="168">
                  <c:v>2.6229795427272951E-4</c:v>
                </c:pt>
                <c:pt idx="169">
                  <c:v>2.3054446172574814E-4</c:v>
                </c:pt>
                <c:pt idx="170">
                  <c:v>2.1621621327593479E-4</c:v>
                </c:pt>
                <c:pt idx="171">
                  <c:v>1.9030800577771618E-4</c:v>
                </c:pt>
                <c:pt idx="172">
                  <c:v>1.7860358420460716E-4</c:v>
                </c:pt>
                <c:pt idx="173">
                  <c:v>1.5741597727384103E-4</c:v>
                </c:pt>
                <c:pt idx="174">
                  <c:v>1.4783336049998855E-4</c:v>
                </c:pt>
                <c:pt idx="175">
                  <c:v>1.3046796854438025E-4</c:v>
                </c:pt>
                <c:pt idx="176">
                  <c:v>1.2260551864414637E-4</c:v>
                </c:pt>
                <c:pt idx="177">
                  <c:v>1.0834254196799026E-4</c:v>
                </c:pt>
                <c:pt idx="178">
                  <c:v>1.0187799130360505E-4</c:v>
                </c:pt>
                <c:pt idx="179">
                  <c:v>9.0139081891514063E-5</c:v>
                </c:pt>
                <c:pt idx="180">
                  <c:v>8.4813139259979852E-5</c:v>
                </c:pt>
                <c:pt idx="181">
                  <c:v>7.5132366992785904E-5</c:v>
                </c:pt>
                <c:pt idx="182">
                  <c:v>7.0735872175446739E-5</c:v>
                </c:pt>
                <c:pt idx="183">
                  <c:v>6.2736929870791007E-5</c:v>
                </c:pt>
                <c:pt idx="184">
                  <c:v>5.9100748561617951E-5</c:v>
                </c:pt>
                <c:pt idx="185">
                  <c:v>5.2478987220396253E-5</c:v>
                </c:pt>
                <c:pt idx="186">
                  <c:v>4.946603282258029E-5</c:v>
                </c:pt>
                <c:pt idx="187">
                  <c:v>4.3974254189771678E-5</c:v>
                </c:pt>
                <c:pt idx="188">
                  <c:v>4.1473167746458618E-5</c:v>
                </c:pt>
                <c:pt idx="189">
                  <c:v>3.6910352151476888E-5</c:v>
                </c:pt>
                <c:pt idx="190">
                  <c:v>3.4830480270660132E-5</c:v>
                </c:pt>
                <c:pt idx="191">
                  <c:v>3.10328165392428E-5</c:v>
                </c:pt>
                <c:pt idx="192">
                  <c:v>2.9300209199185763E-5</c:v>
                </c:pt>
                <c:pt idx="193">
                  <c:v>2.6133936513725956E-5</c:v>
                </c:pt>
                <c:pt idx="194">
                  <c:v>2.4688148986830443E-5</c:v>
                </c:pt>
                <c:pt idx="195">
                  <c:v>2.2043829650538302E-5</c:v>
                </c:pt>
                <c:pt idx="196">
                  <c:v>2.0835360451609163E-5</c:v>
                </c:pt>
                <c:pt idx="197">
                  <c:v>1.8623286121107314E-5</c:v>
                </c:pt>
                <c:pt idx="198">
                  <c:v>1.7611519518113948E-5</c:v>
                </c:pt>
                <c:pt idx="199">
                  <c:v>1.5758017874345976E-5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2A-4A43-97FD-E7B1AD4F0C19}"/>
            </c:ext>
          </c:extLst>
        </c:ser>
        <c:ser>
          <c:idx val="6"/>
          <c:order val="6"/>
          <c:tx>
            <c:strRef>
              <c:f>TL!$AE$34</c:f>
              <c:strCache>
                <c:ptCount val="1"/>
                <c:pt idx="0">
                  <c:v>I5</c:v>
                </c:pt>
              </c:strCache>
            </c:strRef>
          </c:tx>
          <c:spPr>
            <a:ln w="19050"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TL!$AE$35:$AE$384</c:f>
              <c:numCache>
                <c:formatCode>General</c:formatCode>
                <c:ptCount val="350"/>
                <c:pt idx="0">
                  <c:v>1.6062820396833184E-6</c:v>
                </c:pt>
                <c:pt idx="1">
                  <c:v>2.0470119909226024E-6</c:v>
                </c:pt>
                <c:pt idx="2">
                  <c:v>2.6047915019771847E-6</c:v>
                </c:pt>
                <c:pt idx="3">
                  <c:v>4.199172825135518E-6</c:v>
                </c:pt>
                <c:pt idx="4">
                  <c:v>6.7303973431184908E-6</c:v>
                </c:pt>
                <c:pt idx="5">
                  <c:v>8.5025801918819861E-6</c:v>
                </c:pt>
                <c:pt idx="6">
                  <c:v>1.3512689312609622E-5</c:v>
                </c:pt>
                <c:pt idx="7">
                  <c:v>1.6999406777787402E-5</c:v>
                </c:pt>
                <c:pt idx="8">
                  <c:v>2.1356523848668321E-5</c:v>
                </c:pt>
                <c:pt idx="9">
                  <c:v>3.3570656005503505E-5</c:v>
                </c:pt>
                <c:pt idx="10">
                  <c:v>5.2489367721917212E-5</c:v>
                </c:pt>
                <c:pt idx="11">
                  <c:v>6.5504437824409365E-5</c:v>
                </c:pt>
                <c:pt idx="12">
                  <c:v>1.0162060592492039E-4</c:v>
                </c:pt>
                <c:pt idx="13">
                  <c:v>1.2632906881429652E-4</c:v>
                </c:pt>
                <c:pt idx="14">
                  <c:v>1.9449232683192794E-4</c:v>
                </c:pt>
                <c:pt idx="15">
                  <c:v>2.408738401628333E-4</c:v>
                </c:pt>
                <c:pt idx="16">
                  <c:v>3.6809715636698908E-4</c:v>
                </c:pt>
                <c:pt idx="17">
                  <c:v>4.5421063810691976E-4</c:v>
                </c:pt>
                <c:pt idx="18">
                  <c:v>6.8910656043928015E-4</c:v>
                </c:pt>
                <c:pt idx="19">
                  <c:v>8.4728495565791588E-4</c:v>
                </c:pt>
                <c:pt idx="20">
                  <c:v>1.2764230751531956E-3</c:v>
                </c:pt>
                <c:pt idx="21">
                  <c:v>1.5639586163891028E-3</c:v>
                </c:pt>
                <c:pt idx="22">
                  <c:v>1.914080460202216E-3</c:v>
                </c:pt>
                <c:pt idx="23">
                  <c:v>2.8573249751020951E-3</c:v>
                </c:pt>
                <c:pt idx="24">
                  <c:v>4.2464474818248721E-3</c:v>
                </c:pt>
                <c:pt idx="25">
                  <c:v>5.1682541379318991E-3</c:v>
                </c:pt>
                <c:pt idx="26">
                  <c:v>7.6307961441464071E-3</c:v>
                </c:pt>
                <c:pt idx="27">
                  <c:v>9.2573244861587928E-3</c:v>
                </c:pt>
                <c:pt idx="28">
                  <c:v>1.3581292120804897E-2</c:v>
                </c:pt>
                <c:pt idx="29">
                  <c:v>1.6424363790990524E-2</c:v>
                </c:pt>
                <c:pt idx="30">
                  <c:v>1.9842089001277582E-2</c:v>
                </c:pt>
                <c:pt idx="31">
                  <c:v>2.8870462057384135E-2</c:v>
                </c:pt>
                <c:pt idx="32">
                  <c:v>4.1837798395416619E-2</c:v>
                </c:pt>
                <c:pt idx="33">
                  <c:v>5.0289631119739109E-2</c:v>
                </c:pt>
                <c:pt idx="34">
                  <c:v>7.2446790036816505E-2</c:v>
                </c:pt>
                <c:pt idx="35">
                  <c:v>8.6827444359653422E-2</c:v>
                </c:pt>
                <c:pt idx="36">
                  <c:v>0.10396273846815546</c:v>
                </c:pt>
                <c:pt idx="37">
                  <c:v>0.14862120127658185</c:v>
                </c:pt>
                <c:pt idx="38">
                  <c:v>0.17744740329620287</c:v>
                </c:pt>
                <c:pt idx="39">
                  <c:v>0.25225405235704496</c:v>
                </c:pt>
                <c:pt idx="40">
                  <c:v>0.30034754564432847</c:v>
                </c:pt>
                <c:pt idx="41">
                  <c:v>0.42463409643647343</c:v>
                </c:pt>
                <c:pt idx="42">
                  <c:v>0.59820657871324012</c:v>
                </c:pt>
                <c:pt idx="43">
                  <c:v>0.70907787357755381</c:v>
                </c:pt>
                <c:pt idx="44">
                  <c:v>0.8397635435745503</c:v>
                </c:pt>
                <c:pt idx="45">
                  <c:v>1.1747780670628056</c:v>
                </c:pt>
                <c:pt idx="46">
                  <c:v>1.6378367453756686</c:v>
                </c:pt>
                <c:pt idx="47">
                  <c:v>1.9314280857626527</c:v>
                </c:pt>
                <c:pt idx="48">
                  <c:v>2.6792259569823238</c:v>
                </c:pt>
                <c:pt idx="49">
                  <c:v>3.1516476990800628</c:v>
                </c:pt>
                <c:pt idx="50">
                  <c:v>3.7043458342222944</c:v>
                </c:pt>
                <c:pt idx="51">
                  <c:v>5.1051259227061054</c:v>
                </c:pt>
                <c:pt idx="52">
                  <c:v>5.985945546914774</c:v>
                </c:pt>
                <c:pt idx="53">
                  <c:v>8.2102410234355094</c:v>
                </c:pt>
                <c:pt idx="54">
                  <c:v>11.225954275503947</c:v>
                </c:pt>
                <c:pt idx="55">
                  <c:v>13.111571266114632</c:v>
                </c:pt>
                <c:pt idx="56">
                  <c:v>17.845364913693544</c:v>
                </c:pt>
                <c:pt idx="57">
                  <c:v>20.79550347810045</c:v>
                </c:pt>
                <c:pt idx="58">
                  <c:v>28.176465604551424</c:v>
                </c:pt>
                <c:pt idx="59">
                  <c:v>32.761531330515389</c:v>
                </c:pt>
                <c:pt idx="60">
                  <c:v>44.194591197408769</c:v>
                </c:pt>
                <c:pt idx="61">
                  <c:v>51.274424124025543</c:v>
                </c:pt>
                <c:pt idx="62">
                  <c:v>68.870516945086763</c:v>
                </c:pt>
                <c:pt idx="63">
                  <c:v>79.733060600927217</c:v>
                </c:pt>
                <c:pt idx="64">
                  <c:v>92.244146091681145</c:v>
                </c:pt>
                <c:pt idx="65">
                  <c:v>123.2064423711054</c:v>
                </c:pt>
                <c:pt idx="66">
                  <c:v>142.2432006927813</c:v>
                </c:pt>
                <c:pt idx="67">
                  <c:v>189.20761969842567</c:v>
                </c:pt>
                <c:pt idx="68">
                  <c:v>250.99902199958629</c:v>
                </c:pt>
                <c:pt idx="69">
                  <c:v>288.80370559766743</c:v>
                </c:pt>
                <c:pt idx="70">
                  <c:v>381.59261391896729</c:v>
                </c:pt>
                <c:pt idx="71">
                  <c:v>438.19683629794514</c:v>
                </c:pt>
                <c:pt idx="72">
                  <c:v>502.8680111738451</c:v>
                </c:pt>
                <c:pt idx="73">
                  <c:v>660.95893382986424</c:v>
                </c:pt>
                <c:pt idx="74">
                  <c:v>866.5006453237861</c:v>
                </c:pt>
                <c:pt idx="75">
                  <c:v>991.16397121091654</c:v>
                </c:pt>
                <c:pt idx="76">
                  <c:v>1294.3725301410543</c:v>
                </c:pt>
                <c:pt idx="77">
                  <c:v>1477.7347169262491</c:v>
                </c:pt>
                <c:pt idx="78">
                  <c:v>1922.3370078161661</c:v>
                </c:pt>
                <c:pt idx="79">
                  <c:v>2190.4013037918339</c:v>
                </c:pt>
                <c:pt idx="80">
                  <c:v>2838.3128541679002</c:v>
                </c:pt>
                <c:pt idx="81">
                  <c:v>3227.740168536774</c:v>
                </c:pt>
                <c:pt idx="82">
                  <c:v>4165.8252115632849</c:v>
                </c:pt>
                <c:pt idx="83">
                  <c:v>4727.7851893548141</c:v>
                </c:pt>
                <c:pt idx="84">
                  <c:v>6076.5613177570212</c:v>
                </c:pt>
                <c:pt idx="85">
                  <c:v>6881.5955441486713</c:v>
                </c:pt>
                <c:pt idx="86">
                  <c:v>8805.9446293409455</c:v>
                </c:pt>
                <c:pt idx="87">
                  <c:v>9949.7626628643175</c:v>
                </c:pt>
                <c:pt idx="88">
                  <c:v>12671.134368406858</c:v>
                </c:pt>
                <c:pt idx="89">
                  <c:v>14280.83409937561</c:v>
                </c:pt>
                <c:pt idx="90">
                  <c:v>18089.169898687276</c:v>
                </c:pt>
                <c:pt idx="91">
                  <c:v>20328.484980464</c:v>
                </c:pt>
                <c:pt idx="92">
                  <c:v>22820.709447335736</c:v>
                </c:pt>
                <c:pt idx="93">
                  <c:v>28660.107038293587</c:v>
                </c:pt>
                <c:pt idx="94">
                  <c:v>32058.043708298705</c:v>
                </c:pt>
                <c:pt idx="95">
                  <c:v>39942.095722282487</c:v>
                </c:pt>
                <c:pt idx="96">
                  <c:v>49451.063411843919</c:v>
                </c:pt>
                <c:pt idx="97">
                  <c:v>54875.291647567356</c:v>
                </c:pt>
                <c:pt idx="98">
                  <c:v>60772.773640606014</c:v>
                </c:pt>
                <c:pt idx="99">
                  <c:v>74037.993025714706</c:v>
                </c:pt>
                <c:pt idx="100">
                  <c:v>81412.169995681936</c:v>
                </c:pt>
                <c:pt idx="101">
                  <c:v>97579.178981794073</c:v>
                </c:pt>
                <c:pt idx="102">
                  <c:v>106302.60248359568</c:v>
                </c:pt>
                <c:pt idx="103">
                  <c:v>124709.81338506045</c:v>
                </c:pt>
                <c:pt idx="104">
                  <c:v>134193.89628965608</c:v>
                </c:pt>
                <c:pt idx="105">
                  <c:v>153008.93304310236</c:v>
                </c:pt>
                <c:pt idx="106">
                  <c:v>161960.07104309395</c:v>
                </c:pt>
                <c:pt idx="107">
                  <c:v>177764.7184322832</c:v>
                </c:pt>
                <c:pt idx="108">
                  <c:v>184063.42587759701</c:v>
                </c:pt>
                <c:pt idx="109">
                  <c:v>191956.90996290301</c:v>
                </c:pt>
                <c:pt idx="110">
                  <c:v>192964.92852594043</c:v>
                </c:pt>
                <c:pt idx="111">
                  <c:v>187896.06885871218</c:v>
                </c:pt>
                <c:pt idx="112">
                  <c:v>181539.69582069822</c:v>
                </c:pt>
                <c:pt idx="113">
                  <c:v>161287.26946538218</c:v>
                </c:pt>
                <c:pt idx="114">
                  <c:v>147835.1355433084</c:v>
                </c:pt>
                <c:pt idx="115">
                  <c:v>116459.54368519684</c:v>
                </c:pt>
                <c:pt idx="116">
                  <c:v>99768.063272920524</c:v>
                </c:pt>
                <c:pt idx="117">
                  <c:v>67840.094811686198</c:v>
                </c:pt>
                <c:pt idx="118">
                  <c:v>41798.07495405597</c:v>
                </c:pt>
                <c:pt idx="119">
                  <c:v>31833.129325250844</c:v>
                </c:pt>
                <c:pt idx="120">
                  <c:v>23924.482021825548</c:v>
                </c:pt>
                <c:pt idx="121">
                  <c:v>13319.515967903128</c:v>
                </c:pt>
                <c:pt idx="122">
                  <c:v>9981.2622375925057</c:v>
                </c:pt>
                <c:pt idx="123">
                  <c:v>5765.2237455262984</c:v>
                </c:pt>
                <c:pt idx="124">
                  <c:v>3495.1778449375574</c:v>
                </c:pt>
                <c:pt idx="125">
                  <c:v>2773.1247722295102</c:v>
                </c:pt>
                <c:pt idx="126">
                  <c:v>2226.5218127049102</c:v>
                </c:pt>
                <c:pt idx="127">
                  <c:v>1482.5517811330169</c:v>
                </c:pt>
                <c:pt idx="128">
                  <c:v>1227.3734997239719</c:v>
                </c:pt>
                <c:pt idx="129">
                  <c:v>862.24996997914423</c:v>
                </c:pt>
                <c:pt idx="130">
                  <c:v>730.57007222004006</c:v>
                </c:pt>
                <c:pt idx="131">
                  <c:v>534.17035812834081</c:v>
                </c:pt>
                <c:pt idx="132">
                  <c:v>460.44264732085509</c:v>
                </c:pt>
                <c:pt idx="133">
                  <c:v>346.81035686123914</c:v>
                </c:pt>
                <c:pt idx="134">
                  <c:v>302.80155986324593</c:v>
                </c:pt>
                <c:pt idx="135">
                  <c:v>233.21421766428196</c:v>
                </c:pt>
                <c:pt idx="136">
                  <c:v>205.60414622812928</c:v>
                </c:pt>
                <c:pt idx="137">
                  <c:v>161.06569693121688</c:v>
                </c:pt>
                <c:pt idx="138">
                  <c:v>143.05864915259275</c:v>
                </c:pt>
                <c:pt idx="139">
                  <c:v>113.55233697625222</c:v>
                </c:pt>
                <c:pt idx="140">
                  <c:v>101.44562065747222</c:v>
                </c:pt>
                <c:pt idx="141">
                  <c:v>81.360466991209989</c:v>
                </c:pt>
                <c:pt idx="142">
                  <c:v>73.022679276748207</c:v>
                </c:pt>
                <c:pt idx="143">
                  <c:v>59.053048999732241</c:v>
                </c:pt>
                <c:pt idx="144">
                  <c:v>53.199690163047741</c:v>
                </c:pt>
                <c:pt idx="145">
                  <c:v>43.314412661599739</c:v>
                </c:pt>
                <c:pt idx="146">
                  <c:v>39.141162162487532</c:v>
                </c:pt>
                <c:pt idx="147">
                  <c:v>32.047578240411219</c:v>
                </c:pt>
                <c:pt idx="148">
                  <c:v>29.03444220635301</c:v>
                </c:pt>
                <c:pt idx="149">
                  <c:v>23.885447108424668</c:v>
                </c:pt>
                <c:pt idx="150">
                  <c:v>21.687170738009762</c:v>
                </c:pt>
                <c:pt idx="151">
                  <c:v>17.91392151128699</c:v>
                </c:pt>
                <c:pt idx="152">
                  <c:v>16.296118032163552</c:v>
                </c:pt>
                <c:pt idx="153">
                  <c:v>13.50877113634751</c:v>
                </c:pt>
                <c:pt idx="154">
                  <c:v>12.309340839686088</c:v>
                </c:pt>
                <c:pt idx="155">
                  <c:v>10.23626654601572</c:v>
                </c:pt>
                <c:pt idx="156">
                  <c:v>9.3413229717093547</c:v>
                </c:pt>
                <c:pt idx="157">
                  <c:v>7.790089147631595</c:v>
                </c:pt>
                <c:pt idx="158">
                  <c:v>7.1186515717903971</c:v>
                </c:pt>
                <c:pt idx="159">
                  <c:v>5.9519372277557583</c:v>
                </c:pt>
                <c:pt idx="160">
                  <c:v>5.4457054072346409</c:v>
                </c:pt>
                <c:pt idx="161">
                  <c:v>4.5641034732665391</c:v>
                </c:pt>
                <c:pt idx="162">
                  <c:v>4.180742201039525</c:v>
                </c:pt>
                <c:pt idx="163">
                  <c:v>3.5117735658310685</c:v>
                </c:pt>
                <c:pt idx="164">
                  <c:v>3.2202939965761623</c:v>
                </c:pt>
                <c:pt idx="165">
                  <c:v>2.7107187456285176</c:v>
                </c:pt>
                <c:pt idx="166">
                  <c:v>2.4882802665745301</c:v>
                </c:pt>
                <c:pt idx="167">
                  <c:v>2.0987375635993835</c:v>
                </c:pt>
                <c:pt idx="168">
                  <c:v>1.9284035317210431</c:v>
                </c:pt>
                <c:pt idx="169">
                  <c:v>1.6296282420460548</c:v>
                </c:pt>
                <c:pt idx="170">
                  <c:v>1.4987729105848639</c:v>
                </c:pt>
                <c:pt idx="171">
                  <c:v>1.2688965046180165</c:v>
                </c:pt>
                <c:pt idx="172">
                  <c:v>1.1680629577155548</c:v>
                </c:pt>
                <c:pt idx="173">
                  <c:v>0.99067014471351356</c:v>
                </c:pt>
                <c:pt idx="174">
                  <c:v>0.91274452945400208</c:v>
                </c:pt>
                <c:pt idx="175">
                  <c:v>0.77546281426102048</c:v>
                </c:pt>
                <c:pt idx="176">
                  <c:v>0.7150728175808434</c:v>
                </c:pt>
                <c:pt idx="177">
                  <c:v>0.60854169081422138</c:v>
                </c:pt>
                <c:pt idx="178">
                  <c:v>0.56161550554003281</c:v>
                </c:pt>
                <c:pt idx="179">
                  <c:v>0.47872846430055133</c:v>
                </c:pt>
                <c:pt idx="180">
                  <c:v>0.44216956279640812</c:v>
                </c:pt>
                <c:pt idx="181">
                  <c:v>0.37751372055310156</c:v>
                </c:pt>
                <c:pt idx="182">
                  <c:v>0.34895979719402903</c:v>
                </c:pt>
                <c:pt idx="183">
                  <c:v>0.29839956106110965</c:v>
                </c:pt>
                <c:pt idx="184">
                  <c:v>0.27604303698587285</c:v>
                </c:pt>
                <c:pt idx="185">
                  <c:v>0.2364094566885416</c:v>
                </c:pt>
                <c:pt idx="186">
                  <c:v>0.21886326557137958</c:v>
                </c:pt>
                <c:pt idx="187">
                  <c:v>0.18772130398556403</c:v>
                </c:pt>
                <c:pt idx="188">
                  <c:v>0.17391815103168365</c:v>
                </c:pt>
                <c:pt idx="189">
                  <c:v>0.14939168814573167</c:v>
                </c:pt>
                <c:pt idx="190">
                  <c:v>0.1385081658710981</c:v>
                </c:pt>
                <c:pt idx="191">
                  <c:v>0.11914796355884745</c:v>
                </c:pt>
                <c:pt idx="192">
                  <c:v>0.11054720209931887</c:v>
                </c:pt>
                <c:pt idx="193">
                  <c:v>9.5230963496288956E-2</c:v>
                </c:pt>
                <c:pt idx="194">
                  <c:v>8.8419153618824464E-2</c:v>
                </c:pt>
                <c:pt idx="195">
                  <c:v>7.6275646752129028E-2</c:v>
                </c:pt>
                <c:pt idx="196">
                  <c:v>7.0868982732114755E-2</c:v>
                </c:pt>
                <c:pt idx="197">
                  <c:v>6.1220268496281878E-2</c:v>
                </c:pt>
                <c:pt idx="198">
                  <c:v>5.691974306121262E-2</c:v>
                </c:pt>
                <c:pt idx="199">
                  <c:v>4.923706698026481E-2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2A-4A43-97FD-E7B1AD4F0C19}"/>
            </c:ext>
          </c:extLst>
        </c:ser>
        <c:ser>
          <c:idx val="7"/>
          <c:order val="7"/>
          <c:tx>
            <c:strRef>
              <c:f>TL!$AF$34</c:f>
              <c:strCache>
                <c:ptCount val="1"/>
                <c:pt idx="0">
                  <c:v>I6</c:v>
                </c:pt>
              </c:strCache>
            </c:strRef>
          </c:tx>
          <c:spPr>
            <a:ln w="28575">
              <a:noFill/>
            </a:ln>
          </c:spP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TL!$AF$35:$AF$384</c:f>
              <c:numCache>
                <c:formatCode>General</c:formatCode>
                <c:ptCount val="350"/>
                <c:pt idx="0">
                  <c:v>3.1846908888830557E-7</c:v>
                </c:pt>
                <c:pt idx="1">
                  <c:v>3.8556762095917849E-7</c:v>
                </c:pt>
                <c:pt idx="2">
                  <c:v>4.6625598494772604E-7</c:v>
                </c:pt>
                <c:pt idx="3">
                  <c:v>6.7945791831805054E-7</c:v>
                </c:pt>
                <c:pt idx="4">
                  <c:v>9.8564024581147272E-7</c:v>
                </c:pt>
                <c:pt idx="5">
                  <c:v>1.1851252034960944E-6</c:v>
                </c:pt>
                <c:pt idx="6">
                  <c:v>1.7077078664412469E-6</c:v>
                </c:pt>
                <c:pt idx="7">
                  <c:v>2.0465659975991659E-6</c:v>
                </c:pt>
                <c:pt idx="8">
                  <c:v>2.4500142099116862E-6</c:v>
                </c:pt>
                <c:pt idx="9">
                  <c:v>3.4999596196170378E-6</c:v>
                </c:pt>
                <c:pt idx="10">
                  <c:v>4.9788587020600913E-6</c:v>
                </c:pt>
                <c:pt idx="11">
                  <c:v>5.9290879229526119E-6</c:v>
                </c:pt>
                <c:pt idx="12">
                  <c:v>8.3824935003053185E-6</c:v>
                </c:pt>
                <c:pt idx="13">
                  <c:v>9.9519510430843443E-6</c:v>
                </c:pt>
                <c:pt idx="14">
                  <c:v>1.3985628279149803E-5</c:v>
                </c:pt>
                <c:pt idx="15">
                  <c:v>1.655496315226568E-5</c:v>
                </c:pt>
                <c:pt idx="16">
                  <c:v>2.3129051707722693E-5</c:v>
                </c:pt>
                <c:pt idx="17">
                  <c:v>2.7299106655463277E-5</c:v>
                </c:pt>
                <c:pt idx="18">
                  <c:v>3.7922681887984229E-5</c:v>
                </c:pt>
                <c:pt idx="19">
                  <c:v>4.463402317423674E-5</c:v>
                </c:pt>
                <c:pt idx="20">
                  <c:v>6.165958211574901E-5</c:v>
                </c:pt>
                <c:pt idx="21">
                  <c:v>7.2372718376980506E-5</c:v>
                </c:pt>
                <c:pt idx="22">
                  <c:v>8.4870806026299936E-5</c:v>
                </c:pt>
                <c:pt idx="23">
                  <c:v>1.1640341192679484E-4</c:v>
                </c:pt>
                <c:pt idx="24">
                  <c:v>1.5909208252435503E-4</c:v>
                </c:pt>
                <c:pt idx="25">
                  <c:v>1.857488851139697E-4</c:v>
                </c:pt>
                <c:pt idx="26">
                  <c:v>2.5256285947055518E-4</c:v>
                </c:pt>
                <c:pt idx="27">
                  <c:v>2.941312828548031E-4</c:v>
                </c:pt>
                <c:pt idx="28">
                  <c:v>3.9792378265381318E-4</c:v>
                </c:pt>
                <c:pt idx="29">
                  <c:v>4.6226685573121378E-4</c:v>
                </c:pt>
                <c:pt idx="30">
                  <c:v>5.3657674861990856E-4</c:v>
                </c:pt>
                <c:pt idx="31">
                  <c:v>7.2120746348708614E-4</c:v>
                </c:pt>
                <c:pt idx="32">
                  <c:v>9.6629030669715559E-4</c:v>
                </c:pt>
                <c:pt idx="33">
                  <c:v>1.1171729526713446E-3</c:v>
                </c:pt>
                <c:pt idx="34">
                  <c:v>1.4898336693017964E-3</c:v>
                </c:pt>
                <c:pt idx="35">
                  <c:v>1.7184928510973222E-3</c:v>
                </c:pt>
                <c:pt idx="36">
                  <c:v>1.9807456385627482E-3</c:v>
                </c:pt>
                <c:pt idx="37">
                  <c:v>2.6255130477807719E-3</c:v>
                </c:pt>
                <c:pt idx="38">
                  <c:v>3.0194219920411294E-3</c:v>
                </c:pt>
                <c:pt idx="39">
                  <c:v>3.9846439301950212E-3</c:v>
                </c:pt>
                <c:pt idx="40">
                  <c:v>4.5724668883157541E-3</c:v>
                </c:pt>
                <c:pt idx="41">
                  <c:v>6.0081576400043647E-3</c:v>
                </c:pt>
                <c:pt idx="42">
                  <c:v>7.8723846845921534E-3</c:v>
                </c:pt>
                <c:pt idx="43">
                  <c:v>9.0019182301673863E-3</c:v>
                </c:pt>
                <c:pt idx="44">
                  <c:v>1.0286424355272871E-2</c:v>
                </c:pt>
                <c:pt idx="45">
                  <c:v>1.3403993818119986E-2</c:v>
                </c:pt>
                <c:pt idx="46">
                  <c:v>1.7419423932616036E-2</c:v>
                </c:pt>
                <c:pt idx="47">
                  <c:v>1.9838110706362964E-2</c:v>
                </c:pt>
                <c:pt idx="48">
                  <c:v>2.5678979251555812E-2</c:v>
                </c:pt>
                <c:pt idx="49">
                  <c:v>2.9187237286463635E-2</c:v>
                </c:pt>
                <c:pt idx="50">
                  <c:v>3.3153450005825716E-2</c:v>
                </c:pt>
                <c:pt idx="51">
                  <c:v>4.2694320284987958E-2</c:v>
                </c:pt>
                <c:pt idx="52">
                  <c:v>4.8403846317456173E-2</c:v>
                </c:pt>
                <c:pt idx="53">
                  <c:v>6.2099450174085191E-2</c:v>
                </c:pt>
                <c:pt idx="54">
                  <c:v>7.9474308417749828E-2</c:v>
                </c:pt>
                <c:pt idx="55">
                  <c:v>8.982564659032774E-2</c:v>
                </c:pt>
                <c:pt idx="56">
                  <c:v>0.11454216822620016</c:v>
                </c:pt>
                <c:pt idx="57">
                  <c:v>0.12922920195923357</c:v>
                </c:pt>
                <c:pt idx="58">
                  <c:v>0.16420487344628476</c:v>
                </c:pt>
                <c:pt idx="59">
                  <c:v>0.18493531569698157</c:v>
                </c:pt>
                <c:pt idx="60">
                  <c:v>0.23417407022947767</c:v>
                </c:pt>
                <c:pt idx="61">
                  <c:v>0.2632858531147626</c:v>
                </c:pt>
                <c:pt idx="62">
                  <c:v>0.33225555895001163</c:v>
                </c:pt>
                <c:pt idx="63">
                  <c:v>0.37293378848199416</c:v>
                </c:pt>
                <c:pt idx="64">
                  <c:v>0.41836135707352917</c:v>
                </c:pt>
                <c:pt idx="65">
                  <c:v>0.52562861998279176</c:v>
                </c:pt>
                <c:pt idx="66">
                  <c:v>0.58869443255977116</c:v>
                </c:pt>
                <c:pt idx="67">
                  <c:v>0.73724922571869234</c:v>
                </c:pt>
                <c:pt idx="68">
                  <c:v>0.9213389057197523</c:v>
                </c:pt>
                <c:pt idx="69">
                  <c:v>1.0291557906721354</c:v>
                </c:pt>
                <c:pt idx="70">
                  <c:v>1.2821254599418208</c:v>
                </c:pt>
                <c:pt idx="71">
                  <c:v>1.4299511770209601</c:v>
                </c:pt>
                <c:pt idx="72">
                  <c:v>1.5940104996512363</c:v>
                </c:pt>
                <c:pt idx="73">
                  <c:v>1.9777651033388692</c:v>
                </c:pt>
                <c:pt idx="74">
                  <c:v>2.4490202713743385</c:v>
                </c:pt>
                <c:pt idx="75">
                  <c:v>2.7232024503626948</c:v>
                </c:pt>
                <c:pt idx="76">
                  <c:v>3.3621652382081866</c:v>
                </c:pt>
                <c:pt idx="77">
                  <c:v>3.7331306121237899</c:v>
                </c:pt>
                <c:pt idx="78">
                  <c:v>4.5957537893576843</c:v>
                </c:pt>
                <c:pt idx="79">
                  <c:v>5.0955206237820851</c:v>
                </c:pt>
                <c:pt idx="80">
                  <c:v>6.255152556580672</c:v>
                </c:pt>
                <c:pt idx="81">
                  <c:v>6.9256030625948881</c:v>
                </c:pt>
                <c:pt idx="82">
                  <c:v>8.4779744899936968</c:v>
                </c:pt>
                <c:pt idx="83">
                  <c:v>9.3736520252161046</c:v>
                </c:pt>
                <c:pt idx="84">
                  <c:v>11.443150205208319</c:v>
                </c:pt>
                <c:pt idx="85">
                  <c:v>12.634767221772673</c:v>
                </c:pt>
                <c:pt idx="86">
                  <c:v>15.3822762676285</c:v>
                </c:pt>
                <c:pt idx="87">
                  <c:v>16.961081694884328</c:v>
                </c:pt>
                <c:pt idx="88">
                  <c:v>20.593703287713868</c:v>
                </c:pt>
                <c:pt idx="89">
                  <c:v>22.676873669926351</c:v>
                </c:pt>
                <c:pt idx="90">
                  <c:v>27.459866694594364</c:v>
                </c:pt>
                <c:pt idx="91">
                  <c:v>30.197092673450307</c:v>
                </c:pt>
                <c:pt idx="92">
                  <c:v>33.192337671502379</c:v>
                </c:pt>
                <c:pt idx="93">
                  <c:v>40.049800371346223</c:v>
                </c:pt>
                <c:pt idx="94">
                  <c:v>43.963207573173868</c:v>
                </c:pt>
                <c:pt idx="95">
                  <c:v>52.902939584990783</c:v>
                </c:pt>
                <c:pt idx="96">
                  <c:v>63.544890546769579</c:v>
                </c:pt>
                <c:pt idx="97">
                  <c:v>69.595623388208196</c:v>
                </c:pt>
                <c:pt idx="98">
                  <c:v>76.187157381842979</c:v>
                </c:pt>
                <c:pt idx="99">
                  <c:v>91.173691527846415</c:v>
                </c:pt>
                <c:pt idx="100">
                  <c:v>99.66737609503933</c:v>
                </c:pt>
                <c:pt idx="101">
                  <c:v>118.92848068105405</c:v>
                </c:pt>
                <c:pt idx="102">
                  <c:v>129.8162068245488</c:v>
                </c:pt>
                <c:pt idx="103">
                  <c:v>154.43640526514292</c:v>
                </c:pt>
                <c:pt idx="104">
                  <c:v>168.3134239349626</c:v>
                </c:pt>
                <c:pt idx="105">
                  <c:v>199.59477843383667</c:v>
                </c:pt>
                <c:pt idx="106">
                  <c:v>217.16956315284861</c:v>
                </c:pt>
                <c:pt idx="107">
                  <c:v>256.64596804042611</c:v>
                </c:pt>
                <c:pt idx="108">
                  <c:v>278.74363640514588</c:v>
                </c:pt>
                <c:pt idx="109">
                  <c:v>328.17706508039601</c:v>
                </c:pt>
                <c:pt idx="110">
                  <c:v>355.73065846932872</c:v>
                </c:pt>
                <c:pt idx="111">
                  <c:v>417.07534048111825</c:v>
                </c:pt>
                <c:pt idx="112">
                  <c:v>451.09647398883862</c:v>
                </c:pt>
                <c:pt idx="113">
                  <c:v>526.41068661902227</c:v>
                </c:pt>
                <c:pt idx="114">
                  <c:v>567.9276144579718</c:v>
                </c:pt>
                <c:pt idx="115">
                  <c:v>659.20541004982056</c:v>
                </c:pt>
                <c:pt idx="116">
                  <c:v>709.15280507938508</c:v>
                </c:pt>
                <c:pt idx="117">
                  <c:v>818.04097569230044</c:v>
                </c:pt>
                <c:pt idx="118">
                  <c:v>939.22093535315707</c:v>
                </c:pt>
                <c:pt idx="119">
                  <c:v>1004.4450631457114</c:v>
                </c:pt>
                <c:pt idx="120">
                  <c:v>1072.7122749787368</c:v>
                </c:pt>
                <c:pt idx="121">
                  <c:v>1218.0094813088995</c:v>
                </c:pt>
                <c:pt idx="122">
                  <c:v>1294.741913791597</c:v>
                </c:pt>
                <c:pt idx="123">
                  <c:v>1455.2253410418768</c:v>
                </c:pt>
                <c:pt idx="124">
                  <c:v>1622.7930012118745</c:v>
                </c:pt>
                <c:pt idx="125">
                  <c:v>1708.1085643942527</c:v>
                </c:pt>
                <c:pt idx="126">
                  <c:v>1793.6868871148833</c:v>
                </c:pt>
                <c:pt idx="127">
                  <c:v>1962.8510896780667</c:v>
                </c:pt>
                <c:pt idx="128">
                  <c:v>2044.8336353326736</c:v>
                </c:pt>
                <c:pt idx="129">
                  <c:v>2198.9827321543871</c:v>
                </c:pt>
                <c:pt idx="130">
                  <c:v>2269.0885700652666</c:v>
                </c:pt>
                <c:pt idx="131">
                  <c:v>2389.8285739411053</c:v>
                </c:pt>
                <c:pt idx="132">
                  <c:v>2438.1769858997263</c:v>
                </c:pt>
                <c:pt idx="133">
                  <c:v>2505.2521963240233</c:v>
                </c:pt>
                <c:pt idx="134">
                  <c:v>2521.9412609183178</c:v>
                </c:pt>
                <c:pt idx="135">
                  <c:v>2517.4743529292095</c:v>
                </c:pt>
                <c:pt idx="136">
                  <c:v>2495.2108011193936</c:v>
                </c:pt>
                <c:pt idx="137">
                  <c:v>2409.7041534460586</c:v>
                </c:pt>
                <c:pt idx="138">
                  <c:v>2346.9656274411191</c:v>
                </c:pt>
                <c:pt idx="139">
                  <c:v>2185.1606986305687</c:v>
                </c:pt>
                <c:pt idx="140">
                  <c:v>2088.4855524233603</c:v>
                </c:pt>
                <c:pt idx="141">
                  <c:v>1871.5467178718438</c:v>
                </c:pt>
                <c:pt idx="142">
                  <c:v>1755.0261063725684</c:v>
                </c:pt>
                <c:pt idx="143">
                  <c:v>1515.7522805731933</c:v>
                </c:pt>
                <c:pt idx="144">
                  <c:v>1396.8072591512509</c:v>
                </c:pt>
                <c:pt idx="145">
                  <c:v>1168.5767054212433</c:v>
                </c:pt>
                <c:pt idx="146">
                  <c:v>1061.8757252641014</c:v>
                </c:pt>
                <c:pt idx="147">
                  <c:v>867.644236220111</c:v>
                </c:pt>
                <c:pt idx="148">
                  <c:v>781.01807282342872</c:v>
                </c:pt>
                <c:pt idx="149">
                  <c:v>629.23590018838968</c:v>
                </c:pt>
                <c:pt idx="150">
                  <c:v>563.73014728432815</c:v>
                </c:pt>
                <c:pt idx="151">
                  <c:v>451.73908164325178</c:v>
                </c:pt>
                <c:pt idx="152">
                  <c:v>404.35572111439228</c:v>
                </c:pt>
                <c:pt idx="153">
                  <c:v>324.40972071350836</c:v>
                </c:pt>
                <c:pt idx="154">
                  <c:v>290.90280330444375</c:v>
                </c:pt>
                <c:pt idx="155">
                  <c:v>234.64164775852714</c:v>
                </c:pt>
                <c:pt idx="156">
                  <c:v>211.11179135831119</c:v>
                </c:pt>
                <c:pt idx="157">
                  <c:v>171.57557575676728</c:v>
                </c:pt>
                <c:pt idx="158">
                  <c:v>154.99944098174993</c:v>
                </c:pt>
                <c:pt idx="159">
                  <c:v>127.03634058216453</c:v>
                </c:pt>
                <c:pt idx="160">
                  <c:v>115.25265309451999</c:v>
                </c:pt>
                <c:pt idx="161">
                  <c:v>95.260690471325404</c:v>
                </c:pt>
                <c:pt idx="162">
                  <c:v>86.782508485678719</c:v>
                </c:pt>
                <c:pt idx="163">
                  <c:v>72.306146991579197</c:v>
                </c:pt>
                <c:pt idx="164">
                  <c:v>66.125456786572443</c:v>
                </c:pt>
                <c:pt idx="165">
                  <c:v>55.50301573114524</c:v>
                </c:pt>
                <c:pt idx="166">
                  <c:v>50.93741130864845</c:v>
                </c:pt>
                <c:pt idx="167">
                  <c:v>43.041235941015387</c:v>
                </c:pt>
                <c:pt idx="168">
                  <c:v>39.625861942463864</c:v>
                </c:pt>
                <c:pt idx="169">
                  <c:v>33.684138385067534</c:v>
                </c:pt>
                <c:pt idx="170">
                  <c:v>31.099036732291133</c:v>
                </c:pt>
                <c:pt idx="171">
                  <c:v>26.577361014917194</c:v>
                </c:pt>
                <c:pt idx="172">
                  <c:v>24.599548693228861</c:v>
                </c:pt>
                <c:pt idx="173">
                  <c:v>21.123073103264478</c:v>
                </c:pt>
                <c:pt idx="174">
                  <c:v>19.595074316764986</c:v>
                </c:pt>
                <c:pt idx="175">
                  <c:v>16.897328350790069</c:v>
                </c:pt>
                <c:pt idx="176">
                  <c:v>15.706435925544763</c:v>
                </c:pt>
                <c:pt idx="177">
                  <c:v>13.595474067916074</c:v>
                </c:pt>
                <c:pt idx="178">
                  <c:v>12.659968998888159</c:v>
                </c:pt>
                <c:pt idx="179">
                  <c:v>10.995762477331738</c:v>
                </c:pt>
                <c:pt idx="180">
                  <c:v>10.255658052030077</c:v>
                </c:pt>
                <c:pt idx="181">
                  <c:v>8.9348212998528851</c:v>
                </c:pt>
                <c:pt idx="182">
                  <c:v>8.3455708505452204</c:v>
                </c:pt>
                <c:pt idx="183">
                  <c:v>7.2909144793451919</c:v>
                </c:pt>
                <c:pt idx="184">
                  <c:v>6.8190796147121615</c:v>
                </c:pt>
                <c:pt idx="185">
                  <c:v>5.9723735104298097</c:v>
                </c:pt>
                <c:pt idx="186">
                  <c:v>5.5926039629229063</c:v>
                </c:pt>
                <c:pt idx="187">
                  <c:v>4.9095005591468341</c:v>
                </c:pt>
                <c:pt idx="188">
                  <c:v>4.60240211164031</c:v>
                </c:pt>
                <c:pt idx="189">
                  <c:v>4.0488310400925496</c:v>
                </c:pt>
                <c:pt idx="190">
                  <c:v>3.7994421392030033</c:v>
                </c:pt>
                <c:pt idx="191">
                  <c:v>3.349019384117891</c:v>
                </c:pt>
                <c:pt idx="192">
                  <c:v>3.1457100356929302</c:v>
                </c:pt>
                <c:pt idx="193">
                  <c:v>2.7778550420854571</c:v>
                </c:pt>
                <c:pt idx="194">
                  <c:v>2.6115221679637113</c:v>
                </c:pt>
                <c:pt idx="195">
                  <c:v>2.3100747991703474</c:v>
                </c:pt>
                <c:pt idx="196">
                  <c:v>2.1735481302323678</c:v>
                </c:pt>
                <c:pt idx="197">
                  <c:v>1.925742549122875</c:v>
                </c:pt>
                <c:pt idx="198">
                  <c:v>1.8133416947262626</c:v>
                </c:pt>
                <c:pt idx="199">
                  <c:v>1.609037880821315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2A-4A43-97FD-E7B1AD4F0C19}"/>
            </c:ext>
          </c:extLst>
        </c:ser>
        <c:ser>
          <c:idx val="8"/>
          <c:order val="8"/>
          <c:tx>
            <c:strRef>
              <c:f>TL!$AG$34</c:f>
              <c:strCache>
                <c:ptCount val="1"/>
                <c:pt idx="0">
                  <c:v>I7</c:v>
                </c:pt>
              </c:strCache>
            </c:strRef>
          </c:tx>
          <c:spPr>
            <a:ln w="28575">
              <a:noFill/>
            </a:ln>
          </c:spP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TL!$AG$35:$AG$384</c:f>
              <c:numCache>
                <c:formatCode>General</c:formatCode>
                <c:ptCount val="350"/>
                <c:pt idx="0">
                  <c:v>3.2044567724387084E-11</c:v>
                </c:pt>
                <c:pt idx="1">
                  <c:v>4.119340921860512E-11</c:v>
                </c:pt>
                <c:pt idx="2">
                  <c:v>5.2872749289783377E-11</c:v>
                </c:pt>
                <c:pt idx="3">
                  <c:v>8.6707607962671555E-11</c:v>
                </c:pt>
                <c:pt idx="4">
                  <c:v>1.4134438936897732E-10</c:v>
                </c:pt>
                <c:pt idx="5">
                  <c:v>1.8006426391528311E-10</c:v>
                </c:pt>
                <c:pt idx="6">
                  <c:v>2.9095837755122012E-10</c:v>
                </c:pt>
                <c:pt idx="7">
                  <c:v>3.6905967194409927E-10</c:v>
                </c:pt>
                <c:pt idx="8">
                  <c:v>4.674614529622896E-10</c:v>
                </c:pt>
                <c:pt idx="9">
                  <c:v>7.4682121874370897E-10</c:v>
                </c:pt>
                <c:pt idx="10">
                  <c:v>1.1865516751662322E-9</c:v>
                </c:pt>
                <c:pt idx="11">
                  <c:v>1.4925695843440363E-9</c:v>
                </c:pt>
                <c:pt idx="12">
                  <c:v>2.3522432935702163E-9</c:v>
                </c:pt>
                <c:pt idx="13">
                  <c:v>2.947081551786827E-9</c:v>
                </c:pt>
                <c:pt idx="14">
                  <c:v>4.6079653252457495E-9</c:v>
                </c:pt>
                <c:pt idx="15">
                  <c:v>5.7507723869502704E-9</c:v>
                </c:pt>
                <c:pt idx="16">
                  <c:v>8.9228012226266499E-9</c:v>
                </c:pt>
                <c:pt idx="17">
                  <c:v>1.1093505110344201E-8</c:v>
                </c:pt>
                <c:pt idx="18">
                  <c:v>1.7083914428566006E-8</c:v>
                </c:pt>
                <c:pt idx="19">
                  <c:v>2.1161556209183139E-8</c:v>
                </c:pt>
                <c:pt idx="20">
                  <c:v>3.2351352013341552E-8</c:v>
                </c:pt>
                <c:pt idx="21">
                  <c:v>3.9928769800609072E-8</c:v>
                </c:pt>
                <c:pt idx="22">
                  <c:v>4.9222761840041527E-8</c:v>
                </c:pt>
                <c:pt idx="23">
                  <c:v>7.4542326754148993E-8</c:v>
                </c:pt>
                <c:pt idx="24">
                  <c:v>1.1236660990872365E-7</c:v>
                </c:pt>
                <c:pt idx="25">
                  <c:v>1.3772534198972313E-7</c:v>
                </c:pt>
                <c:pt idx="26">
                  <c:v>2.0620835207260017E-7</c:v>
                </c:pt>
                <c:pt idx="27">
                  <c:v>2.5190111443457681E-7</c:v>
                </c:pt>
                <c:pt idx="28">
                  <c:v>3.7467333196253766E-7</c:v>
                </c:pt>
                <c:pt idx="29">
                  <c:v>4.5620433150190059E-7</c:v>
                </c:pt>
                <c:pt idx="30">
                  <c:v>5.5488286834251935E-7</c:v>
                </c:pt>
                <c:pt idx="31">
                  <c:v>8.1828781169383254E-7</c:v>
                </c:pt>
                <c:pt idx="32">
                  <c:v>1.2017020961330833E-6</c:v>
                </c:pt>
                <c:pt idx="33">
                  <c:v>1.4540222237469638E-6</c:v>
                </c:pt>
                <c:pt idx="34">
                  <c:v>2.1222429931078741E-6</c:v>
                </c:pt>
                <c:pt idx="35">
                  <c:v>2.5600708885644171E-6</c:v>
                </c:pt>
                <c:pt idx="36">
                  <c:v>3.0851532506834143E-6</c:v>
                </c:pt>
                <c:pt idx="37">
                  <c:v>4.4672836580477983E-6</c:v>
                </c:pt>
                <c:pt idx="38">
                  <c:v>5.367750459430499E-6</c:v>
                </c:pt>
                <c:pt idx="39">
                  <c:v>7.7274694230735604E-6</c:v>
                </c:pt>
                <c:pt idx="40">
                  <c:v>9.2584870961752453E-6</c:v>
                </c:pt>
                <c:pt idx="41">
                  <c:v>1.3253240138211216E-5</c:v>
                </c:pt>
                <c:pt idx="42">
                  <c:v>1.8901399361613946E-5</c:v>
                </c:pt>
                <c:pt idx="43">
                  <c:v>2.2541555337491243E-5</c:v>
                </c:pt>
                <c:pt idx="44">
                  <c:v>2.6858424543660995E-5</c:v>
                </c:pt>
                <c:pt idx="45">
                  <c:v>3.8028230909393449E-5</c:v>
                </c:pt>
                <c:pt idx="46">
                  <c:v>5.3653067156044624E-5</c:v>
                </c:pt>
                <c:pt idx="47">
                  <c:v>6.3645785608118589E-5</c:v>
                </c:pt>
                <c:pt idx="48">
                  <c:v>8.9329721750011832E-5</c:v>
                </c:pt>
                <c:pt idx="49">
                  <c:v>1.0569461842582876E-4</c:v>
                </c:pt>
                <c:pt idx="50">
                  <c:v>1.2495183807295122E-4</c:v>
                </c:pt>
                <c:pt idx="51">
                  <c:v>1.741934617534083E-4</c:v>
                </c:pt>
                <c:pt idx="52">
                  <c:v>2.0541715743087444E-4</c:v>
                </c:pt>
                <c:pt idx="53">
                  <c:v>2.8495768090693177E-4</c:v>
                </c:pt>
                <c:pt idx="54">
                  <c:v>3.9402169204242628E-4</c:v>
                </c:pt>
                <c:pt idx="55">
                  <c:v>4.6277515915444512E-4</c:v>
                </c:pt>
                <c:pt idx="56">
                  <c:v>6.3685805756843919E-4</c:v>
                </c:pt>
                <c:pt idx="57">
                  <c:v>7.4622599319036675E-4</c:v>
                </c:pt>
                <c:pt idx="58">
                  <c:v>1.0221650718374579E-3</c:v>
                </c:pt>
                <c:pt idx="59">
                  <c:v>1.1949475781186688E-3</c:v>
                </c:pt>
                <c:pt idx="60">
                  <c:v>1.6293765921893064E-3</c:v>
                </c:pt>
                <c:pt idx="61">
                  <c:v>1.9005137364844725E-3</c:v>
                </c:pt>
                <c:pt idx="62">
                  <c:v>2.5799318022348299E-3</c:v>
                </c:pt>
                <c:pt idx="63">
                  <c:v>3.0026208841031723E-3</c:v>
                </c:pt>
                <c:pt idx="64">
                  <c:v>3.4920323046759103E-3</c:v>
                </c:pt>
                <c:pt idx="65">
                  <c:v>4.7130185688165765E-3</c:v>
                </c:pt>
                <c:pt idx="66">
                  <c:v>5.4694886570571897E-3</c:v>
                </c:pt>
                <c:pt idx="67">
                  <c:v>7.3506719879045997E-3</c:v>
                </c:pt>
                <c:pt idx="68">
                  <c:v>9.8514894648628806E-3</c:v>
                </c:pt>
                <c:pt idx="69">
                  <c:v>1.1393117255711963E-2</c:v>
                </c:pt>
                <c:pt idx="70">
                  <c:v>1.5206903948100281E-2</c:v>
                </c:pt>
                <c:pt idx="71">
                  <c:v>1.7551024575093457E-2</c:v>
                </c:pt>
                <c:pt idx="72">
                  <c:v>2.0243016078415298E-2</c:v>
                </c:pt>
                <c:pt idx="73">
                  <c:v>2.687583313659422E-2</c:v>
                </c:pt>
                <c:pt idx="74">
                  <c:v>3.5589080587524205E-2</c:v>
                </c:pt>
                <c:pt idx="75">
                  <c:v>4.0914249683416323E-2</c:v>
                </c:pt>
                <c:pt idx="76">
                  <c:v>5.3971018837861588E-2</c:v>
                </c:pt>
                <c:pt idx="77">
                  <c:v>6.192878974966004E-2</c:v>
                </c:pt>
                <c:pt idx="78">
                  <c:v>8.1384888903076574E-2</c:v>
                </c:pt>
                <c:pt idx="79">
                  <c:v>9.3210888902559644E-2</c:v>
                </c:pt>
                <c:pt idx="80">
                  <c:v>0.12204388092929712</c:v>
                </c:pt>
                <c:pt idx="81">
                  <c:v>0.13952308200665803</c:v>
                </c:pt>
                <c:pt idx="82">
                  <c:v>0.182022760612602</c:v>
                </c:pt>
                <c:pt idx="83">
                  <c:v>0.20772020675645883</c:v>
                </c:pt>
                <c:pt idx="84">
                  <c:v>0.27003486861834985</c:v>
                </c:pt>
                <c:pt idx="85">
                  <c:v>0.30761765899426413</c:v>
                </c:pt>
                <c:pt idx="86">
                  <c:v>0.39851448783355892</c:v>
                </c:pt>
                <c:pt idx="87">
                  <c:v>0.45319886644141799</c:v>
                </c:pt>
                <c:pt idx="88">
                  <c:v>0.5851171110537865</c:v>
                </c:pt>
                <c:pt idx="89">
                  <c:v>0.6642862215086166</c:v>
                </c:pt>
                <c:pt idx="90">
                  <c:v>0.85478879012028375</c:v>
                </c:pt>
                <c:pt idx="91">
                  <c:v>0.96884209925800757</c:v>
                </c:pt>
                <c:pt idx="92">
                  <c:v>1.0975158243212333</c:v>
                </c:pt>
                <c:pt idx="93">
                  <c:v>1.4061222777403186</c:v>
                </c:pt>
                <c:pt idx="94">
                  <c:v>1.5903052853947182</c:v>
                </c:pt>
                <c:pt idx="95">
                  <c:v>2.0309767992136969</c:v>
                </c:pt>
                <c:pt idx="96">
                  <c:v>2.5883210896470255</c:v>
                </c:pt>
                <c:pt idx="97">
                  <c:v>2.9196876138841712</c:v>
                </c:pt>
                <c:pt idx="98">
                  <c:v>3.2917799738267441</c:v>
                </c:pt>
                <c:pt idx="99">
                  <c:v>4.177853657038848</c:v>
                </c:pt>
                <c:pt idx="100">
                  <c:v>4.7030944633424117</c:v>
                </c:pt>
                <c:pt idx="101">
                  <c:v>5.950988543965896</c:v>
                </c:pt>
                <c:pt idx="102">
                  <c:v>6.6890788022217373</c:v>
                </c:pt>
                <c:pt idx="103">
                  <c:v>8.4386905022287326</c:v>
                </c:pt>
                <c:pt idx="104">
                  <c:v>9.4712788783317361</c:v>
                </c:pt>
                <c:pt idx="105">
                  <c:v>11.913484805404302</c:v>
                </c:pt>
                <c:pt idx="106">
                  <c:v>13.351717881088522</c:v>
                </c:pt>
                <c:pt idx="107">
                  <c:v>16.745730023911243</c:v>
                </c:pt>
                <c:pt idx="108">
                  <c:v>18.740190543939867</c:v>
                </c:pt>
                <c:pt idx="109">
                  <c:v>23.43631958405064</c:v>
                </c:pt>
                <c:pt idx="110">
                  <c:v>26.190012430907021</c:v>
                </c:pt>
                <c:pt idx="111">
                  <c:v>32.659286452219547</c:v>
                </c:pt>
                <c:pt idx="112">
                  <c:v>36.444460352588287</c:v>
                </c:pt>
                <c:pt idx="113">
                  <c:v>45.316795535462951</c:v>
                </c:pt>
                <c:pt idx="114">
                  <c:v>50.496502530997645</c:v>
                </c:pt>
                <c:pt idx="115">
                  <c:v>62.609308146123681</c:v>
                </c:pt>
                <c:pt idx="116">
                  <c:v>69.664662527029151</c:v>
                </c:pt>
                <c:pt idx="117">
                  <c:v>86.123774502325304</c:v>
                </c:pt>
                <c:pt idx="118">
                  <c:v>106.26075365552471</c:v>
                </c:pt>
                <c:pt idx="119">
                  <c:v>117.94227725475541</c:v>
                </c:pt>
                <c:pt idx="120">
                  <c:v>130.84092230478697</c:v>
                </c:pt>
                <c:pt idx="121">
                  <c:v>160.77212908168713</c:v>
                </c:pt>
                <c:pt idx="122">
                  <c:v>178.07214149609391</c:v>
                </c:pt>
                <c:pt idx="123">
                  <c:v>218.09521373470901</c:v>
                </c:pt>
                <c:pt idx="124">
                  <c:v>266.50018153894143</c:v>
                </c:pt>
                <c:pt idx="125">
                  <c:v>294.32806223864407</c:v>
                </c:pt>
                <c:pt idx="126">
                  <c:v>324.85847772641443</c:v>
                </c:pt>
                <c:pt idx="127">
                  <c:v>394.9728213635093</c:v>
                </c:pt>
                <c:pt idx="128">
                  <c:v>435.0674526479786</c:v>
                </c:pt>
                <c:pt idx="129">
                  <c:v>526.7201691951326</c:v>
                </c:pt>
                <c:pt idx="130">
                  <c:v>578.87615915964159</c:v>
                </c:pt>
                <c:pt idx="131">
                  <c:v>697.43502743297915</c:v>
                </c:pt>
                <c:pt idx="132">
                  <c:v>764.50222199881364</c:v>
                </c:pt>
                <c:pt idx="133">
                  <c:v>915.91164117170433</c:v>
                </c:pt>
                <c:pt idx="134">
                  <c:v>1000.9318972802633</c:v>
                </c:pt>
                <c:pt idx="135">
                  <c:v>1191.2263879040795</c:v>
                </c:pt>
                <c:pt idx="136">
                  <c:v>1297.089520035252</c:v>
                </c:pt>
                <c:pt idx="137">
                  <c:v>1531.4539362343121</c:v>
                </c:pt>
                <c:pt idx="138">
                  <c:v>1660.2811597398193</c:v>
                </c:pt>
                <c:pt idx="139">
                  <c:v>1941.4751683581801</c:v>
                </c:pt>
                <c:pt idx="140">
                  <c:v>2093.6444166762544</c:v>
                </c:pt>
                <c:pt idx="141">
                  <c:v>2419.6611769178394</c:v>
                </c:pt>
                <c:pt idx="142">
                  <c:v>2592.4471547382113</c:v>
                </c:pt>
                <c:pt idx="143">
                  <c:v>2953.4863936808401</c:v>
                </c:pt>
                <c:pt idx="144">
                  <c:v>3139.4524316132265</c:v>
                </c:pt>
                <c:pt idx="145">
                  <c:v>3514.7624517960835</c:v>
                </c:pt>
                <c:pt idx="146">
                  <c:v>3700.3577042803167</c:v>
                </c:pt>
                <c:pt idx="147">
                  <c:v>4056.281106180541</c:v>
                </c:pt>
                <c:pt idx="148">
                  <c:v>4221.5378079094153</c:v>
                </c:pt>
                <c:pt idx="149">
                  <c:v>4512.9548776604661</c:v>
                </c:pt>
                <c:pt idx="150">
                  <c:v>4633.5134476396825</c:v>
                </c:pt>
                <c:pt idx="151">
                  <c:v>4811.0450515997463</c:v>
                </c:pt>
                <c:pt idx="152">
                  <c:v>4863.4193205604433</c:v>
                </c:pt>
                <c:pt idx="153">
                  <c:v>4886.9525021205818</c:v>
                </c:pt>
                <c:pt idx="154">
                  <c:v>4856.3694860287169</c:v>
                </c:pt>
                <c:pt idx="155">
                  <c:v>4711.0483467204594</c:v>
                </c:pt>
                <c:pt idx="156">
                  <c:v>4598.5933760644575</c:v>
                </c:pt>
                <c:pt idx="157">
                  <c:v>4304.6260469380813</c:v>
                </c:pt>
                <c:pt idx="158">
                  <c:v>4128.9117621017704</c:v>
                </c:pt>
                <c:pt idx="159">
                  <c:v>3737.0004464913141</c:v>
                </c:pt>
                <c:pt idx="160">
                  <c:v>3527.9791844936299</c:v>
                </c:pt>
                <c:pt idx="161">
                  <c:v>3101.0166094461188</c:v>
                </c:pt>
                <c:pt idx="162">
                  <c:v>2889.1830196607248</c:v>
                </c:pt>
                <c:pt idx="163">
                  <c:v>2481.2277076848281</c:v>
                </c:pt>
                <c:pt idx="164">
                  <c:v>2288.7934406584804</c:v>
                </c:pt>
                <c:pt idx="165">
                  <c:v>1933.0879905352424</c:v>
                </c:pt>
                <c:pt idx="166">
                  <c:v>1771.1241512635136</c:v>
                </c:pt>
                <c:pt idx="167">
                  <c:v>1479.9911908048277</c:v>
                </c:pt>
                <c:pt idx="168">
                  <c:v>1350.5418876974522</c:v>
                </c:pt>
                <c:pt idx="169">
                  <c:v>1122.0302844031373</c:v>
                </c:pt>
                <c:pt idx="170">
                  <c:v>1021.9393727817857</c:v>
                </c:pt>
                <c:pt idx="171">
                  <c:v>847.16820018669716</c:v>
                </c:pt>
                <c:pt idx="172">
                  <c:v>771.27681609569959</c:v>
                </c:pt>
                <c:pt idx="173">
                  <c:v>639.5305667439028</c:v>
                </c:pt>
                <c:pt idx="174">
                  <c:v>582.56517537069669</c:v>
                </c:pt>
                <c:pt idx="175">
                  <c:v>483.91138795433602</c:v>
                </c:pt>
                <c:pt idx="176">
                  <c:v>441.31171348368167</c:v>
                </c:pt>
                <c:pt idx="177">
                  <c:v>367.55090189442399</c:v>
                </c:pt>
                <c:pt idx="178">
                  <c:v>335.68384215251206</c:v>
                </c:pt>
                <c:pt idx="179">
                  <c:v>280.44192662549142</c:v>
                </c:pt>
                <c:pt idx="180">
                  <c:v>256.53680487845423</c:v>
                </c:pt>
                <c:pt idx="181">
                  <c:v>215.01599920353897</c:v>
                </c:pt>
                <c:pt idx="182">
                  <c:v>197.00818522287031</c:v>
                </c:pt>
                <c:pt idx="183">
                  <c:v>165.65651357624731</c:v>
                </c:pt>
                <c:pt idx="184">
                  <c:v>152.02460239313999</c:v>
                </c:pt>
                <c:pt idx="185">
                  <c:v>128.23134995052035</c:v>
                </c:pt>
                <c:pt idx="186">
                  <c:v>117.85866375180085</c:v>
                </c:pt>
                <c:pt idx="187">
                  <c:v>99.707937976753058</c:v>
                </c:pt>
                <c:pt idx="188">
                  <c:v>91.774510882087995</c:v>
                </c:pt>
                <c:pt idx="189">
                  <c:v>77.857689131502681</c:v>
                </c:pt>
                <c:pt idx="190">
                  <c:v>71.75958884647298</c:v>
                </c:pt>
                <c:pt idx="191">
                  <c:v>61.036973603410573</c:v>
                </c:pt>
                <c:pt idx="192">
                  <c:v>56.327353014474603</c:v>
                </c:pt>
                <c:pt idx="193">
                  <c:v>48.0276974476158</c:v>
                </c:pt>
                <c:pt idx="194">
                  <c:v>44.37416521055669</c:v>
                </c:pt>
                <c:pt idx="195">
                  <c:v>37.922178257725349</c:v>
                </c:pt>
                <c:pt idx="196">
                  <c:v>35.076076190829177</c:v>
                </c:pt>
                <c:pt idx="197">
                  <c:v>30.040175681403298</c:v>
                </c:pt>
                <c:pt idx="198">
                  <c:v>27.814420706751534</c:v>
                </c:pt>
                <c:pt idx="199">
                  <c:v>23.868998587344628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2A-4A43-97FD-E7B1AD4F0C19}"/>
            </c:ext>
          </c:extLst>
        </c:ser>
        <c:ser>
          <c:idx val="9"/>
          <c:order val="9"/>
          <c:tx>
            <c:strRef>
              <c:f>TL!$AH$34</c:f>
              <c:strCache>
                <c:ptCount val="1"/>
                <c:pt idx="0">
                  <c:v>I8</c:v>
                </c:pt>
              </c:strCache>
            </c:strRef>
          </c:tx>
          <c:spPr>
            <a:ln w="19050"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TL!$AH$35:$AH$384</c:f>
              <c:numCache>
                <c:formatCode>General</c:formatCode>
                <c:ptCount val="350"/>
                <c:pt idx="0">
                  <c:v>7.5410318372533564E-14</c:v>
                </c:pt>
                <c:pt idx="1">
                  <c:v>9.8014514347007806E-14</c:v>
                </c:pt>
                <c:pt idx="2">
                  <c:v>1.2718956592097277E-13</c:v>
                </c:pt>
                <c:pt idx="3">
                  <c:v>2.1315898849086293E-13</c:v>
                </c:pt>
                <c:pt idx="4">
                  <c:v>3.5500756539898469E-13</c:v>
                </c:pt>
                <c:pt idx="5">
                  <c:v>4.5708888070307568E-13</c:v>
                </c:pt>
                <c:pt idx="6">
                  <c:v>7.5430856818814719E-13</c:v>
                </c:pt>
                <c:pt idx="7">
                  <c:v>9.6682132128436918E-13</c:v>
                </c:pt>
                <c:pt idx="8">
                  <c:v>1.237370712741148E-12</c:v>
                </c:pt>
                <c:pt idx="9">
                  <c:v>2.0178983230889187E-12</c:v>
                </c:pt>
                <c:pt idx="10">
                  <c:v>3.2718436206076568E-12</c:v>
                </c:pt>
                <c:pt idx="11">
                  <c:v>4.1573172553633526E-12</c:v>
                </c:pt>
                <c:pt idx="12">
                  <c:v>6.6838932330233167E-12</c:v>
                </c:pt>
                <c:pt idx="13">
                  <c:v>8.4573801342509922E-12</c:v>
                </c:pt>
                <c:pt idx="14">
                  <c:v>1.3485623923516044E-11</c:v>
                </c:pt>
                <c:pt idx="15">
                  <c:v>1.6994569374086395E-11</c:v>
                </c:pt>
                <c:pt idx="16">
                  <c:v>2.688169788658818E-11</c:v>
                </c:pt>
                <c:pt idx="17">
                  <c:v>3.3742249390241082E-11</c:v>
                </c:pt>
                <c:pt idx="18">
                  <c:v>5.2956737939130714E-11</c:v>
                </c:pt>
                <c:pt idx="19">
                  <c:v>6.6215653948332131E-11</c:v>
                </c:pt>
                <c:pt idx="20">
                  <c:v>1.0313233021935147E-10</c:v>
                </c:pt>
                <c:pt idx="21">
                  <c:v>1.284691372073214E-10</c:v>
                </c:pt>
                <c:pt idx="22">
                  <c:v>1.5983313097798108E-10</c:v>
                </c:pt>
                <c:pt idx="23">
                  <c:v>2.4649768193418829E-10</c:v>
                </c:pt>
                <c:pt idx="24">
                  <c:v>3.7832789204025311E-10</c:v>
                </c:pt>
                <c:pt idx="25">
                  <c:v>4.6786767121593515E-10</c:v>
                </c:pt>
                <c:pt idx="26">
                  <c:v>7.1302953570668394E-10</c:v>
                </c:pt>
                <c:pt idx="27">
                  <c:v>8.7871027412449461E-10</c:v>
                </c:pt>
                <c:pt idx="28">
                  <c:v>1.3299476973795262E-9</c:v>
                </c:pt>
                <c:pt idx="29">
                  <c:v>1.6334029716938615E-9</c:v>
                </c:pt>
                <c:pt idx="30">
                  <c:v>2.0038583509816422E-9</c:v>
                </c:pt>
                <c:pt idx="31">
                  <c:v>3.0059018833651823E-9</c:v>
                </c:pt>
                <c:pt idx="32">
                  <c:v>4.4894066981626791E-9</c:v>
                </c:pt>
                <c:pt idx="33">
                  <c:v>5.4776645401211202E-9</c:v>
                </c:pt>
                <c:pt idx="34">
                  <c:v>8.1287897679048797E-9</c:v>
                </c:pt>
                <c:pt idx="35">
                  <c:v>9.886833568577145E-9</c:v>
                </c:pt>
                <c:pt idx="36">
                  <c:v>1.2012612298078597E-8</c:v>
                </c:pt>
                <c:pt idx="37">
                  <c:v>1.7679050397636121E-8</c:v>
                </c:pt>
                <c:pt idx="38">
                  <c:v>2.14144644304377E-8</c:v>
                </c:pt>
                <c:pt idx="39">
                  <c:v>3.1325370729694482E-8</c:v>
                </c:pt>
                <c:pt idx="40">
                  <c:v>3.7830646771514364E-8</c:v>
                </c:pt>
                <c:pt idx="41">
                  <c:v>5.5012547329240008E-8</c:v>
                </c:pt>
                <c:pt idx="42">
                  <c:v>7.9689102951260053E-8</c:v>
                </c:pt>
                <c:pt idx="43">
                  <c:v>9.5773497981957259E-8</c:v>
                </c:pt>
                <c:pt idx="44">
                  <c:v>1.1499560431751657E-7</c:v>
                </c:pt>
                <c:pt idx="45">
                  <c:v>1.6532329603618993E-7</c:v>
                </c:pt>
                <c:pt idx="46">
                  <c:v>2.3680030733639514E-7</c:v>
                </c:pt>
                <c:pt idx="47">
                  <c:v>2.8301683689462028E-7</c:v>
                </c:pt>
                <c:pt idx="48">
                  <c:v>4.0318012302234723E-7</c:v>
                </c:pt>
                <c:pt idx="49">
                  <c:v>4.8057574999990219E-7</c:v>
                </c:pt>
                <c:pt idx="50">
                  <c:v>5.7232321427904785E-7</c:v>
                </c:pt>
                <c:pt idx="51">
                  <c:v>8.0958450657443854E-7</c:v>
                </c:pt>
                <c:pt idx="52">
                  <c:v>9.6163260910036923E-7</c:v>
                </c:pt>
                <c:pt idx="53">
                  <c:v>1.3532882488985573E-6</c:v>
                </c:pt>
                <c:pt idx="54">
                  <c:v>1.8980425618661966E-6</c:v>
                </c:pt>
                <c:pt idx="55">
                  <c:v>2.2450239228178792E-6</c:v>
                </c:pt>
                <c:pt idx="56">
                  <c:v>3.133132387805807E-6</c:v>
                </c:pt>
                <c:pt idx="57">
                  <c:v>3.6968066431953897E-6</c:v>
                </c:pt>
                <c:pt idx="58">
                  <c:v>5.1342125036198232E-6</c:v>
                </c:pt>
                <c:pt idx="59">
                  <c:v>6.0433541568339181E-6</c:v>
                </c:pt>
                <c:pt idx="60">
                  <c:v>8.3533429028940095E-6</c:v>
                </c:pt>
                <c:pt idx="61">
                  <c:v>9.8094196145070922E-6</c:v>
                </c:pt>
                <c:pt idx="62">
                  <c:v>1.3496005509966677E-5</c:v>
                </c:pt>
                <c:pt idx="63">
                  <c:v>1.5812079243862259E-5</c:v>
                </c:pt>
                <c:pt idx="64">
                  <c:v>1.8511618614608018E-5</c:v>
                </c:pt>
                <c:pt idx="65">
                  <c:v>2.5315097620381231E-5</c:v>
                </c:pt>
                <c:pt idx="66">
                  <c:v>2.9570865132792363E-5</c:v>
                </c:pt>
                <c:pt idx="67">
                  <c:v>4.0260383770681098E-5</c:v>
                </c:pt>
                <c:pt idx="68">
                  <c:v>5.4655446145559655E-5</c:v>
                </c:pt>
                <c:pt idx="69">
                  <c:v>6.3612850387082638E-5</c:v>
                </c:pt>
                <c:pt idx="70">
                  <c:v>8.5989582925098511E-5</c:v>
                </c:pt>
                <c:pt idx="71">
                  <c:v>9.9871070326844344E-5</c:v>
                </c:pt>
                <c:pt idx="72">
                  <c:v>1.1591295306689417E-4</c:v>
                </c:pt>
                <c:pt idx="73">
                  <c:v>1.5581887822695433E-4</c:v>
                </c:pt>
                <c:pt idx="74">
                  <c:v>2.0889434159842944E-4</c:v>
                </c:pt>
                <c:pt idx="75">
                  <c:v>2.4162507171912221E-4</c:v>
                </c:pt>
                <c:pt idx="76">
                  <c:v>3.2263142877722665E-4</c:v>
                </c:pt>
                <c:pt idx="77">
                  <c:v>3.7244313386127631E-4</c:v>
                </c:pt>
                <c:pt idx="78">
                  <c:v>4.9535691368671067E-4</c:v>
                </c:pt>
                <c:pt idx="79">
                  <c:v>5.7072516591427766E-4</c:v>
                </c:pt>
                <c:pt idx="80">
                  <c:v>7.5615949522243701E-4</c:v>
                </c:pt>
                <c:pt idx="81">
                  <c:v>8.695503583835227E-4</c:v>
                </c:pt>
                <c:pt idx="82">
                  <c:v>1.1477383110598681E-3</c:v>
                </c:pt>
                <c:pt idx="83">
                  <c:v>1.3173868563287653E-3</c:v>
                </c:pt>
                <c:pt idx="84">
                  <c:v>1.7324309965217246E-3</c:v>
                </c:pt>
                <c:pt idx="85">
                  <c:v>1.9848681223274094E-3</c:v>
                </c:pt>
                <c:pt idx="86">
                  <c:v>2.6007620231697716E-3</c:v>
                </c:pt>
                <c:pt idx="87">
                  <c:v>2.9743858612808205E-3</c:v>
                </c:pt>
                <c:pt idx="88">
                  <c:v>3.8835028227726205E-3</c:v>
                </c:pt>
                <c:pt idx="89">
                  <c:v>4.4336009903402354E-3</c:v>
                </c:pt>
                <c:pt idx="90">
                  <c:v>5.7686008560297371E-3</c:v>
                </c:pt>
                <c:pt idx="91">
                  <c:v>6.5743778888927061E-3</c:v>
                </c:pt>
                <c:pt idx="92">
                  <c:v>7.4884593957038779E-3</c:v>
                </c:pt>
                <c:pt idx="93">
                  <c:v>9.6991889920601954E-3</c:v>
                </c:pt>
                <c:pt idx="94">
                  <c:v>1.1029192194654765E-2</c:v>
                </c:pt>
                <c:pt idx="95">
                  <c:v>1.4237760497026648E-2</c:v>
                </c:pt>
                <c:pt idx="96">
                  <c:v>1.8339680800907136E-2</c:v>
                </c:pt>
                <c:pt idx="97">
                  <c:v>2.0797692123297219E-2</c:v>
                </c:pt>
                <c:pt idx="98">
                  <c:v>2.35725226589289E-2</c:v>
                </c:pt>
                <c:pt idx="99">
                  <c:v>3.0234057277450887E-2</c:v>
                </c:pt>
                <c:pt idx="100">
                  <c:v>3.4213602318858491E-2</c:v>
                </c:pt>
                <c:pt idx="101">
                  <c:v>4.3744667769624969E-2</c:v>
                </c:pt>
                <c:pt idx="102">
                  <c:v>4.942559590478264E-2</c:v>
                </c:pt>
                <c:pt idx="103">
                  <c:v>6.2999888089000325E-2</c:v>
                </c:pt>
                <c:pt idx="104">
                  <c:v>7.1072831903499875E-2</c:v>
                </c:pt>
                <c:pt idx="105">
                  <c:v>9.0318758643692335E-2</c:v>
                </c:pt>
                <c:pt idx="106">
                  <c:v>0.10173986449852787</c:v>
                </c:pt>
                <c:pt idx="107">
                  <c:v>0.12890692515003846</c:v>
                </c:pt>
                <c:pt idx="108">
                  <c:v>0.14499424817891507</c:v>
                </c:pt>
                <c:pt idx="109">
                  <c:v>0.18317671075810837</c:v>
                </c:pt>
                <c:pt idx="110">
                  <c:v>0.20573954128807523</c:v>
                </c:pt>
                <c:pt idx="111">
                  <c:v>0.25917590576086441</c:v>
                </c:pt>
                <c:pt idx="112">
                  <c:v>0.29068756500740189</c:v>
                </c:pt>
                <c:pt idx="113">
                  <c:v>0.36515985524651506</c:v>
                </c:pt>
                <c:pt idx="114">
                  <c:v>0.40898763495264578</c:v>
                </c:pt>
                <c:pt idx="115">
                  <c:v>0.5123516508460253</c:v>
                </c:pt>
                <c:pt idx="116">
                  <c:v>0.5730615657858642</c:v>
                </c:pt>
                <c:pt idx="117">
                  <c:v>0.71594823057949653</c:v>
                </c:pt>
                <c:pt idx="118">
                  <c:v>0.89286988977916681</c:v>
                </c:pt>
                <c:pt idx="119">
                  <c:v>0.99644662452072164</c:v>
                </c:pt>
                <c:pt idx="120">
                  <c:v>1.1115518615374798</c:v>
                </c:pt>
                <c:pt idx="121">
                  <c:v>1.3813852389950714</c:v>
                </c:pt>
                <c:pt idx="122">
                  <c:v>1.5389562355342374</c:v>
                </c:pt>
                <c:pt idx="123">
                  <c:v>1.9076208560390608</c:v>
                </c:pt>
                <c:pt idx="124">
                  <c:v>2.3605951899360784</c:v>
                </c:pt>
                <c:pt idx="125">
                  <c:v>2.6242939506507108</c:v>
                </c:pt>
                <c:pt idx="126">
                  <c:v>2.9162324905752044</c:v>
                </c:pt>
                <c:pt idx="127">
                  <c:v>3.5966740628682348</c:v>
                </c:pt>
                <c:pt idx="128">
                  <c:v>3.9918300277031844</c:v>
                </c:pt>
                <c:pt idx="129">
                  <c:v>4.9111243153496318</c:v>
                </c:pt>
                <c:pt idx="130">
                  <c:v>5.4440281307289364</c:v>
                </c:pt>
                <c:pt idx="131">
                  <c:v>6.6814804802197179</c:v>
                </c:pt>
                <c:pt idx="132">
                  <c:v>7.3975327714964862</c:v>
                </c:pt>
                <c:pt idx="133">
                  <c:v>9.057205355162905</c:v>
                </c:pt>
                <c:pt idx="134">
                  <c:v>10.015862366223866</c:v>
                </c:pt>
                <c:pt idx="135">
                  <c:v>12.233752363467715</c:v>
                </c:pt>
                <c:pt idx="136">
                  <c:v>13.512557565421526</c:v>
                </c:pt>
                <c:pt idx="137">
                  <c:v>16.465649540678111</c:v>
                </c:pt>
                <c:pt idx="138">
                  <c:v>18.165298654842477</c:v>
                </c:pt>
                <c:pt idx="139">
                  <c:v>22.082888381733195</c:v>
                </c:pt>
                <c:pt idx="140">
                  <c:v>24.33353623966817</c:v>
                </c:pt>
                <c:pt idx="141">
                  <c:v>29.51125604096384</c:v>
                </c:pt>
                <c:pt idx="142">
                  <c:v>32.480283155750882</c:v>
                </c:pt>
                <c:pt idx="143">
                  <c:v>39.297256693709464</c:v>
                </c:pt>
                <c:pt idx="144">
                  <c:v>43.198698142698689</c:v>
                </c:pt>
                <c:pt idx="145">
                  <c:v>52.138181756134514</c:v>
                </c:pt>
                <c:pt idx="146">
                  <c:v>57.243959360600549</c:v>
                </c:pt>
                <c:pt idx="147">
                  <c:v>68.917632245707978</c:v>
                </c:pt>
                <c:pt idx="148">
                  <c:v>75.570588226606702</c:v>
                </c:pt>
                <c:pt idx="149">
                  <c:v>90.74624731862653</c:v>
                </c:pt>
                <c:pt idx="150">
                  <c:v>99.374699157321317</c:v>
                </c:pt>
                <c:pt idx="151">
                  <c:v>119.00636181281895</c:v>
                </c:pt>
                <c:pt idx="152">
                  <c:v>130.13940175543027</c:v>
                </c:pt>
                <c:pt idx="153">
                  <c:v>155.39752108549189</c:v>
                </c:pt>
                <c:pt idx="154">
                  <c:v>169.67945068823951</c:v>
                </c:pt>
                <c:pt idx="155">
                  <c:v>201.97682429710497</c:v>
                </c:pt>
                <c:pt idx="156">
                  <c:v>220.17778238395306</c:v>
                </c:pt>
                <c:pt idx="157">
                  <c:v>261.18341832620422</c:v>
                </c:pt>
                <c:pt idx="158">
                  <c:v>284.2012278467634</c:v>
                </c:pt>
                <c:pt idx="159">
                  <c:v>335.8294976141085</c:v>
                </c:pt>
                <c:pt idx="160">
                  <c:v>364.67481256817757</c:v>
                </c:pt>
                <c:pt idx="161">
                  <c:v>429.03030056010164</c:v>
                </c:pt>
                <c:pt idx="162">
                  <c:v>464.78314984108607</c:v>
                </c:pt>
                <c:pt idx="163">
                  <c:v>544.03266947511315</c:v>
                </c:pt>
                <c:pt idx="164">
                  <c:v>587.7536302474108</c:v>
                </c:pt>
                <c:pt idx="165">
                  <c:v>683.88681398831011</c:v>
                </c:pt>
                <c:pt idx="166">
                  <c:v>736.46115749562716</c:v>
                </c:pt>
                <c:pt idx="167">
                  <c:v>850.89275041549297</c:v>
                </c:pt>
                <c:pt idx="168">
                  <c:v>912.78323470530313</c:v>
                </c:pt>
                <c:pt idx="169">
                  <c:v>1045.7503762682734</c:v>
                </c:pt>
                <c:pt idx="170">
                  <c:v>1116.6385659099767</c:v>
                </c:pt>
                <c:pt idx="171">
                  <c:v>1266.367512707757</c:v>
                </c:pt>
                <c:pt idx="172">
                  <c:v>1344.6827059879845</c:v>
                </c:pt>
                <c:pt idx="173">
                  <c:v>1506.361648150287</c:v>
                </c:pt>
                <c:pt idx="174">
                  <c:v>1588.742358515409</c:v>
                </c:pt>
                <c:pt idx="175">
                  <c:v>1753.4651045261612</c:v>
                </c:pt>
                <c:pt idx="176">
                  <c:v>1834.282355711458</c:v>
                </c:pt>
                <c:pt idx="177">
                  <c:v>1988.3376664954183</c:v>
                </c:pt>
                <c:pt idx="178">
                  <c:v>2059.5324085312686</c:v>
                </c:pt>
                <c:pt idx="179">
                  <c:v>2184.6769682130407</c:v>
                </c:pt>
                <c:pt idx="180">
                  <c:v>2236.2895241750884</c:v>
                </c:pt>
                <c:pt idx="181">
                  <c:v>2311.8222765804971</c:v>
                </c:pt>
                <c:pt idx="182">
                  <c:v>2333.6115773223064</c:v>
                </c:pt>
                <c:pt idx="183">
                  <c:v>2340.8567805010448</c:v>
                </c:pt>
                <c:pt idx="184">
                  <c:v>2325.1275402789806</c:v>
                </c:pt>
                <c:pt idx="185">
                  <c:v>2253.9182499402018</c:v>
                </c:pt>
                <c:pt idx="186">
                  <c:v>2198.9193433955002</c:v>
                </c:pt>
                <c:pt idx="187">
                  <c:v>2053.7542742741257</c:v>
                </c:pt>
                <c:pt idx="188">
                  <c:v>1965.9624301150088</c:v>
                </c:pt>
                <c:pt idx="189">
                  <c:v>1767.7687508020513</c:v>
                </c:pt>
                <c:pt idx="190">
                  <c:v>1660.9824889681061</c:v>
                </c:pt>
                <c:pt idx="191">
                  <c:v>1441.3840752270562</c:v>
                </c:pt>
                <c:pt idx="192">
                  <c:v>1332.1080616551155</c:v>
                </c:pt>
                <c:pt idx="193">
                  <c:v>1122.1366804784243</c:v>
                </c:pt>
                <c:pt idx="194">
                  <c:v>1023.7514761285975</c:v>
                </c:pt>
                <c:pt idx="195">
                  <c:v>844.01157348835602</c:v>
                </c:pt>
                <c:pt idx="196">
                  <c:v>763.44973763859934</c:v>
                </c:pt>
                <c:pt idx="197">
                  <c:v>621.39459798445512</c:v>
                </c:pt>
                <c:pt idx="198">
                  <c:v>559.61650198910024</c:v>
                </c:pt>
                <c:pt idx="199">
                  <c:v>453.10249515614453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B2A-4A43-97FD-E7B1AD4F0C19}"/>
            </c:ext>
          </c:extLst>
        </c:ser>
        <c:ser>
          <c:idx val="10"/>
          <c:order val="10"/>
          <c:tx>
            <c:strRef>
              <c:f>TL!$AI$34</c:f>
              <c:strCache>
                <c:ptCount val="1"/>
                <c:pt idx="0">
                  <c:v>I9</c:v>
                </c:pt>
              </c:strCache>
            </c:strRef>
          </c:tx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TL!$AI$35:$AI$384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B2A-4A43-97FD-E7B1AD4F0C19}"/>
            </c:ext>
          </c:extLst>
        </c:ser>
        <c:ser>
          <c:idx val="11"/>
          <c:order val="11"/>
          <c:tx>
            <c:strRef>
              <c:f>TL!$AJ$34</c:f>
              <c:strCache>
                <c:ptCount val="1"/>
                <c:pt idx="0">
                  <c:v>I10</c:v>
                </c:pt>
              </c:strCache>
            </c:strRef>
          </c:tx>
          <c:spPr>
            <a:ln w="19050">
              <a:solidFill>
                <a:schemeClr val="bg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TL!$D$35:$D$384</c:f>
              <c:numCache>
                <c:formatCode>General</c:formatCode>
                <c:ptCount val="35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TL!$AJ$35:$AJ$384</c:f>
              <c:numCache>
                <c:formatCode>General</c:formatCode>
                <c:ptCount val="350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50</c:v>
                </c:pt>
                <c:pt idx="50">
                  <c:v>50</c:v>
                </c:pt>
                <c:pt idx="51">
                  <c:v>50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50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50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50</c:v>
                </c:pt>
                <c:pt idx="134">
                  <c:v>50</c:v>
                </c:pt>
                <c:pt idx="135">
                  <c:v>50</c:v>
                </c:pt>
                <c:pt idx="136">
                  <c:v>50</c:v>
                </c:pt>
                <c:pt idx="137">
                  <c:v>50</c:v>
                </c:pt>
                <c:pt idx="138">
                  <c:v>50</c:v>
                </c:pt>
                <c:pt idx="139">
                  <c:v>50</c:v>
                </c:pt>
                <c:pt idx="140">
                  <c:v>50</c:v>
                </c:pt>
                <c:pt idx="141">
                  <c:v>50</c:v>
                </c:pt>
                <c:pt idx="142">
                  <c:v>50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50</c:v>
                </c:pt>
                <c:pt idx="147">
                  <c:v>50</c:v>
                </c:pt>
                <c:pt idx="148">
                  <c:v>50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50</c:v>
                </c:pt>
                <c:pt idx="174">
                  <c:v>50</c:v>
                </c:pt>
                <c:pt idx="175">
                  <c:v>50</c:v>
                </c:pt>
                <c:pt idx="176">
                  <c:v>50</c:v>
                </c:pt>
                <c:pt idx="177">
                  <c:v>50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  <c:pt idx="181">
                  <c:v>50</c:v>
                </c:pt>
                <c:pt idx="182">
                  <c:v>50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50</c:v>
                </c:pt>
                <c:pt idx="189">
                  <c:v>50</c:v>
                </c:pt>
                <c:pt idx="190">
                  <c:v>50</c:v>
                </c:pt>
                <c:pt idx="191">
                  <c:v>50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50</c:v>
                </c:pt>
                <c:pt idx="196">
                  <c:v>50</c:v>
                </c:pt>
                <c:pt idx="197">
                  <c:v>50</c:v>
                </c:pt>
                <c:pt idx="198">
                  <c:v>50</c:v>
                </c:pt>
                <c:pt idx="19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B2A-4A43-97FD-E7B1AD4F0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48704"/>
        <c:axId val="143528704"/>
      </c:scatterChart>
      <c:valAx>
        <c:axId val="143448704"/>
        <c:scaling>
          <c:orientation val="minMax"/>
          <c:max val="650"/>
          <c:min val="2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T(K)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43528704"/>
        <c:crosses val="autoZero"/>
        <c:crossBetween val="midCat"/>
      </c:valAx>
      <c:valAx>
        <c:axId val="143528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TL</a:t>
                </a:r>
                <a:r>
                  <a:rPr lang="en-US" baseline="0"/>
                  <a:t> Intencity (au)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43448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TL!$AR$35:$AR$234</c:f>
              <c:numCache>
                <c:formatCode>General</c:formatCode>
                <c:ptCount val="200"/>
                <c:pt idx="0">
                  <c:v>324</c:v>
                </c:pt>
                <c:pt idx="1">
                  <c:v>325</c:v>
                </c:pt>
                <c:pt idx="2">
                  <c:v>326</c:v>
                </c:pt>
                <c:pt idx="3">
                  <c:v>328</c:v>
                </c:pt>
                <c:pt idx="4">
                  <c:v>330</c:v>
                </c:pt>
                <c:pt idx="5">
                  <c:v>331</c:v>
                </c:pt>
                <c:pt idx="6">
                  <c:v>333</c:v>
                </c:pt>
                <c:pt idx="7">
                  <c:v>334</c:v>
                </c:pt>
                <c:pt idx="8">
                  <c:v>335</c:v>
                </c:pt>
                <c:pt idx="9">
                  <c:v>337</c:v>
                </c:pt>
                <c:pt idx="10">
                  <c:v>339</c:v>
                </c:pt>
                <c:pt idx="11">
                  <c:v>340</c:v>
                </c:pt>
                <c:pt idx="12">
                  <c:v>342</c:v>
                </c:pt>
                <c:pt idx="13">
                  <c:v>343</c:v>
                </c:pt>
                <c:pt idx="14">
                  <c:v>345</c:v>
                </c:pt>
                <c:pt idx="15">
                  <c:v>346</c:v>
                </c:pt>
                <c:pt idx="16">
                  <c:v>348</c:v>
                </c:pt>
                <c:pt idx="17">
                  <c:v>349</c:v>
                </c:pt>
                <c:pt idx="18">
                  <c:v>351</c:v>
                </c:pt>
                <c:pt idx="19">
                  <c:v>352</c:v>
                </c:pt>
                <c:pt idx="20">
                  <c:v>354</c:v>
                </c:pt>
                <c:pt idx="21">
                  <c:v>355</c:v>
                </c:pt>
                <c:pt idx="22">
                  <c:v>356</c:v>
                </c:pt>
                <c:pt idx="23">
                  <c:v>358</c:v>
                </c:pt>
                <c:pt idx="24">
                  <c:v>360</c:v>
                </c:pt>
                <c:pt idx="25">
                  <c:v>361</c:v>
                </c:pt>
                <c:pt idx="26">
                  <c:v>363</c:v>
                </c:pt>
                <c:pt idx="27">
                  <c:v>364</c:v>
                </c:pt>
                <c:pt idx="28">
                  <c:v>366</c:v>
                </c:pt>
                <c:pt idx="29">
                  <c:v>367</c:v>
                </c:pt>
                <c:pt idx="30">
                  <c:v>368</c:v>
                </c:pt>
                <c:pt idx="31">
                  <c:v>370</c:v>
                </c:pt>
                <c:pt idx="32">
                  <c:v>372</c:v>
                </c:pt>
                <c:pt idx="33">
                  <c:v>373</c:v>
                </c:pt>
                <c:pt idx="34">
                  <c:v>375</c:v>
                </c:pt>
                <c:pt idx="35">
                  <c:v>376</c:v>
                </c:pt>
                <c:pt idx="36">
                  <c:v>377</c:v>
                </c:pt>
                <c:pt idx="37">
                  <c:v>379</c:v>
                </c:pt>
                <c:pt idx="38">
                  <c:v>380</c:v>
                </c:pt>
                <c:pt idx="39">
                  <c:v>382</c:v>
                </c:pt>
                <c:pt idx="40">
                  <c:v>383</c:v>
                </c:pt>
                <c:pt idx="41">
                  <c:v>385</c:v>
                </c:pt>
                <c:pt idx="42">
                  <c:v>387</c:v>
                </c:pt>
                <c:pt idx="43">
                  <c:v>388</c:v>
                </c:pt>
                <c:pt idx="44">
                  <c:v>389</c:v>
                </c:pt>
                <c:pt idx="45">
                  <c:v>391</c:v>
                </c:pt>
                <c:pt idx="46">
                  <c:v>393</c:v>
                </c:pt>
                <c:pt idx="47">
                  <c:v>394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400</c:v>
                </c:pt>
                <c:pt idx="52">
                  <c:v>401</c:v>
                </c:pt>
                <c:pt idx="53">
                  <c:v>403</c:v>
                </c:pt>
                <c:pt idx="54">
                  <c:v>405</c:v>
                </c:pt>
                <c:pt idx="55">
                  <c:v>406</c:v>
                </c:pt>
                <c:pt idx="56">
                  <c:v>408</c:v>
                </c:pt>
                <c:pt idx="57">
                  <c:v>409</c:v>
                </c:pt>
                <c:pt idx="58">
                  <c:v>411</c:v>
                </c:pt>
                <c:pt idx="59">
                  <c:v>412</c:v>
                </c:pt>
                <c:pt idx="60">
                  <c:v>414</c:v>
                </c:pt>
                <c:pt idx="61">
                  <c:v>415</c:v>
                </c:pt>
                <c:pt idx="62">
                  <c:v>417</c:v>
                </c:pt>
                <c:pt idx="63">
                  <c:v>418</c:v>
                </c:pt>
                <c:pt idx="64">
                  <c:v>419</c:v>
                </c:pt>
                <c:pt idx="65">
                  <c:v>421</c:v>
                </c:pt>
                <c:pt idx="66">
                  <c:v>422</c:v>
                </c:pt>
                <c:pt idx="67">
                  <c:v>424</c:v>
                </c:pt>
                <c:pt idx="68">
                  <c:v>426</c:v>
                </c:pt>
                <c:pt idx="69">
                  <c:v>427</c:v>
                </c:pt>
                <c:pt idx="70">
                  <c:v>429</c:v>
                </c:pt>
                <c:pt idx="71">
                  <c:v>430</c:v>
                </c:pt>
                <c:pt idx="72">
                  <c:v>431</c:v>
                </c:pt>
                <c:pt idx="73">
                  <c:v>433</c:v>
                </c:pt>
                <c:pt idx="74">
                  <c:v>435</c:v>
                </c:pt>
                <c:pt idx="75">
                  <c:v>436</c:v>
                </c:pt>
                <c:pt idx="76">
                  <c:v>438</c:v>
                </c:pt>
                <c:pt idx="77">
                  <c:v>439</c:v>
                </c:pt>
                <c:pt idx="78">
                  <c:v>441</c:v>
                </c:pt>
                <c:pt idx="79">
                  <c:v>442</c:v>
                </c:pt>
                <c:pt idx="80">
                  <c:v>444</c:v>
                </c:pt>
                <c:pt idx="81">
                  <c:v>445</c:v>
                </c:pt>
                <c:pt idx="82">
                  <c:v>447</c:v>
                </c:pt>
                <c:pt idx="83">
                  <c:v>448</c:v>
                </c:pt>
                <c:pt idx="84">
                  <c:v>450</c:v>
                </c:pt>
                <c:pt idx="85">
                  <c:v>451</c:v>
                </c:pt>
                <c:pt idx="86">
                  <c:v>453</c:v>
                </c:pt>
                <c:pt idx="87">
                  <c:v>454</c:v>
                </c:pt>
                <c:pt idx="88">
                  <c:v>456</c:v>
                </c:pt>
                <c:pt idx="89">
                  <c:v>457</c:v>
                </c:pt>
                <c:pt idx="90">
                  <c:v>459</c:v>
                </c:pt>
                <c:pt idx="91">
                  <c:v>460</c:v>
                </c:pt>
                <c:pt idx="92">
                  <c:v>461</c:v>
                </c:pt>
                <c:pt idx="93">
                  <c:v>463</c:v>
                </c:pt>
                <c:pt idx="94">
                  <c:v>464</c:v>
                </c:pt>
                <c:pt idx="95">
                  <c:v>466</c:v>
                </c:pt>
                <c:pt idx="96">
                  <c:v>468</c:v>
                </c:pt>
                <c:pt idx="97">
                  <c:v>469</c:v>
                </c:pt>
                <c:pt idx="98">
                  <c:v>470</c:v>
                </c:pt>
                <c:pt idx="99">
                  <c:v>472</c:v>
                </c:pt>
                <c:pt idx="100">
                  <c:v>473</c:v>
                </c:pt>
                <c:pt idx="101">
                  <c:v>475</c:v>
                </c:pt>
                <c:pt idx="102">
                  <c:v>476</c:v>
                </c:pt>
                <c:pt idx="103">
                  <c:v>478</c:v>
                </c:pt>
                <c:pt idx="104">
                  <c:v>479</c:v>
                </c:pt>
                <c:pt idx="105">
                  <c:v>481</c:v>
                </c:pt>
                <c:pt idx="106">
                  <c:v>482</c:v>
                </c:pt>
                <c:pt idx="107">
                  <c:v>484</c:v>
                </c:pt>
                <c:pt idx="108">
                  <c:v>485</c:v>
                </c:pt>
                <c:pt idx="109">
                  <c:v>487</c:v>
                </c:pt>
                <c:pt idx="110">
                  <c:v>488</c:v>
                </c:pt>
                <c:pt idx="111">
                  <c:v>490</c:v>
                </c:pt>
                <c:pt idx="112">
                  <c:v>491</c:v>
                </c:pt>
                <c:pt idx="113">
                  <c:v>493</c:v>
                </c:pt>
                <c:pt idx="114">
                  <c:v>494</c:v>
                </c:pt>
                <c:pt idx="115">
                  <c:v>496</c:v>
                </c:pt>
                <c:pt idx="116">
                  <c:v>497</c:v>
                </c:pt>
                <c:pt idx="117">
                  <c:v>499</c:v>
                </c:pt>
                <c:pt idx="118">
                  <c:v>501</c:v>
                </c:pt>
                <c:pt idx="119">
                  <c:v>502</c:v>
                </c:pt>
                <c:pt idx="120">
                  <c:v>503</c:v>
                </c:pt>
                <c:pt idx="121">
                  <c:v>505</c:v>
                </c:pt>
                <c:pt idx="122">
                  <c:v>506</c:v>
                </c:pt>
                <c:pt idx="123">
                  <c:v>508</c:v>
                </c:pt>
                <c:pt idx="124">
                  <c:v>510</c:v>
                </c:pt>
                <c:pt idx="125">
                  <c:v>511</c:v>
                </c:pt>
                <c:pt idx="126">
                  <c:v>512</c:v>
                </c:pt>
                <c:pt idx="127">
                  <c:v>514</c:v>
                </c:pt>
                <c:pt idx="128">
                  <c:v>515</c:v>
                </c:pt>
                <c:pt idx="129">
                  <c:v>517</c:v>
                </c:pt>
                <c:pt idx="130">
                  <c:v>518</c:v>
                </c:pt>
                <c:pt idx="131">
                  <c:v>520</c:v>
                </c:pt>
                <c:pt idx="132">
                  <c:v>521</c:v>
                </c:pt>
                <c:pt idx="133">
                  <c:v>523</c:v>
                </c:pt>
                <c:pt idx="134">
                  <c:v>524</c:v>
                </c:pt>
                <c:pt idx="135">
                  <c:v>526</c:v>
                </c:pt>
                <c:pt idx="136">
                  <c:v>527</c:v>
                </c:pt>
                <c:pt idx="137">
                  <c:v>529</c:v>
                </c:pt>
                <c:pt idx="138">
                  <c:v>530</c:v>
                </c:pt>
                <c:pt idx="139">
                  <c:v>532</c:v>
                </c:pt>
                <c:pt idx="140">
                  <c:v>533</c:v>
                </c:pt>
                <c:pt idx="141">
                  <c:v>535</c:v>
                </c:pt>
                <c:pt idx="142">
                  <c:v>536</c:v>
                </c:pt>
                <c:pt idx="143">
                  <c:v>538</c:v>
                </c:pt>
                <c:pt idx="144">
                  <c:v>539</c:v>
                </c:pt>
                <c:pt idx="145">
                  <c:v>541</c:v>
                </c:pt>
                <c:pt idx="146">
                  <c:v>542</c:v>
                </c:pt>
                <c:pt idx="147">
                  <c:v>544</c:v>
                </c:pt>
                <c:pt idx="148">
                  <c:v>545</c:v>
                </c:pt>
                <c:pt idx="149">
                  <c:v>547</c:v>
                </c:pt>
                <c:pt idx="150">
                  <c:v>548</c:v>
                </c:pt>
                <c:pt idx="151">
                  <c:v>550</c:v>
                </c:pt>
                <c:pt idx="152">
                  <c:v>551</c:v>
                </c:pt>
                <c:pt idx="153">
                  <c:v>553</c:v>
                </c:pt>
                <c:pt idx="154">
                  <c:v>554</c:v>
                </c:pt>
                <c:pt idx="155">
                  <c:v>556</c:v>
                </c:pt>
                <c:pt idx="156">
                  <c:v>557</c:v>
                </c:pt>
                <c:pt idx="157">
                  <c:v>559</c:v>
                </c:pt>
                <c:pt idx="158">
                  <c:v>560</c:v>
                </c:pt>
                <c:pt idx="159">
                  <c:v>562</c:v>
                </c:pt>
                <c:pt idx="160">
                  <c:v>563</c:v>
                </c:pt>
                <c:pt idx="161">
                  <c:v>565</c:v>
                </c:pt>
                <c:pt idx="162">
                  <c:v>566</c:v>
                </c:pt>
                <c:pt idx="163">
                  <c:v>568</c:v>
                </c:pt>
                <c:pt idx="164">
                  <c:v>569</c:v>
                </c:pt>
                <c:pt idx="165">
                  <c:v>571</c:v>
                </c:pt>
                <c:pt idx="166">
                  <c:v>572</c:v>
                </c:pt>
                <c:pt idx="167">
                  <c:v>574</c:v>
                </c:pt>
                <c:pt idx="168">
                  <c:v>575</c:v>
                </c:pt>
                <c:pt idx="169">
                  <c:v>577</c:v>
                </c:pt>
                <c:pt idx="170">
                  <c:v>578</c:v>
                </c:pt>
                <c:pt idx="171">
                  <c:v>580</c:v>
                </c:pt>
                <c:pt idx="172">
                  <c:v>581</c:v>
                </c:pt>
                <c:pt idx="173">
                  <c:v>583</c:v>
                </c:pt>
                <c:pt idx="174">
                  <c:v>584</c:v>
                </c:pt>
                <c:pt idx="175">
                  <c:v>586</c:v>
                </c:pt>
                <c:pt idx="176">
                  <c:v>587</c:v>
                </c:pt>
                <c:pt idx="177">
                  <c:v>589</c:v>
                </c:pt>
                <c:pt idx="178">
                  <c:v>590</c:v>
                </c:pt>
                <c:pt idx="179">
                  <c:v>592</c:v>
                </c:pt>
                <c:pt idx="180">
                  <c:v>593</c:v>
                </c:pt>
                <c:pt idx="181">
                  <c:v>595</c:v>
                </c:pt>
                <c:pt idx="182">
                  <c:v>596</c:v>
                </c:pt>
                <c:pt idx="183">
                  <c:v>598</c:v>
                </c:pt>
                <c:pt idx="184">
                  <c:v>599</c:v>
                </c:pt>
                <c:pt idx="185">
                  <c:v>601</c:v>
                </c:pt>
                <c:pt idx="186">
                  <c:v>602</c:v>
                </c:pt>
                <c:pt idx="187">
                  <c:v>604</c:v>
                </c:pt>
                <c:pt idx="188">
                  <c:v>605</c:v>
                </c:pt>
                <c:pt idx="189">
                  <c:v>607</c:v>
                </c:pt>
                <c:pt idx="190">
                  <c:v>608</c:v>
                </c:pt>
                <c:pt idx="191">
                  <c:v>610</c:v>
                </c:pt>
                <c:pt idx="192">
                  <c:v>611</c:v>
                </c:pt>
                <c:pt idx="193">
                  <c:v>613</c:v>
                </c:pt>
                <c:pt idx="194">
                  <c:v>614</c:v>
                </c:pt>
                <c:pt idx="195">
                  <c:v>616</c:v>
                </c:pt>
                <c:pt idx="196">
                  <c:v>617</c:v>
                </c:pt>
                <c:pt idx="197">
                  <c:v>619</c:v>
                </c:pt>
                <c:pt idx="198">
                  <c:v>620</c:v>
                </c:pt>
                <c:pt idx="199">
                  <c:v>622</c:v>
                </c:pt>
              </c:numCache>
            </c:numRef>
          </c:xVal>
          <c:yVal>
            <c:numRef>
              <c:f>TL!$AS$35:$AS$234</c:f>
              <c:numCache>
                <c:formatCode>General</c:formatCode>
                <c:ptCount val="200"/>
                <c:pt idx="0">
                  <c:v>-14.475815791248614</c:v>
                </c:pt>
                <c:pt idx="1">
                  <c:v>-4.7097870829159048</c:v>
                </c:pt>
                <c:pt idx="2">
                  <c:v>-1.0705989584594868</c:v>
                </c:pt>
                <c:pt idx="3">
                  <c:v>-0.16285543002562616</c:v>
                </c:pt>
                <c:pt idx="4">
                  <c:v>-5.6148611334771906E-2</c:v>
                </c:pt>
                <c:pt idx="5">
                  <c:v>0.266327963216896</c:v>
                </c:pt>
                <c:pt idx="6">
                  <c:v>-2.2054450442002563E-2</c:v>
                </c:pt>
                <c:pt idx="7">
                  <c:v>0.11838206260123166</c:v>
                </c:pt>
                <c:pt idx="8">
                  <c:v>0.17655001361276051</c:v>
                </c:pt>
                <c:pt idx="9">
                  <c:v>0.15612356288080084</c:v>
                </c:pt>
                <c:pt idx="10">
                  <c:v>1.8701127937002265E-2</c:v>
                </c:pt>
                <c:pt idx="11">
                  <c:v>-6.7103053563330489E-2</c:v>
                </c:pt>
                <c:pt idx="12">
                  <c:v>2.1866516475475207E-2</c:v>
                </c:pt>
                <c:pt idx="13">
                  <c:v>-0.36848037781200466</c:v>
                </c:pt>
                <c:pt idx="14">
                  <c:v>-3.0488185074439088E-2</c:v>
                </c:pt>
                <c:pt idx="15">
                  <c:v>-0.57986359095435891</c:v>
                </c:pt>
                <c:pt idx="16">
                  <c:v>-0.16150131957293587</c:v>
                </c:pt>
                <c:pt idx="17">
                  <c:v>-0.65447630134302159</c:v>
                </c:pt>
                <c:pt idx="18">
                  <c:v>-9.4848668730596844E-4</c:v>
                </c:pt>
                <c:pt idx="19">
                  <c:v>-0.29636487729181754</c:v>
                </c:pt>
                <c:pt idx="20">
                  <c:v>3.2217703243875968E-2</c:v>
                </c:pt>
                <c:pt idx="21">
                  <c:v>4.6668587356779666E-2</c:v>
                </c:pt>
                <c:pt idx="22">
                  <c:v>0.41302797562502203</c:v>
                </c:pt>
                <c:pt idx="23">
                  <c:v>0.27998265656486421</c:v>
                </c:pt>
                <c:pt idx="24">
                  <c:v>-7.8368218757353503E-2</c:v>
                </c:pt>
                <c:pt idx="25">
                  <c:v>0.221671591425111</c:v>
                </c:pt>
                <c:pt idx="26">
                  <c:v>-0.22006571131879427</c:v>
                </c:pt>
                <c:pt idx="27">
                  <c:v>0.1665389274103693</c:v>
                </c:pt>
                <c:pt idx="28">
                  <c:v>-0.35699330454122813</c:v>
                </c:pt>
                <c:pt idx="29">
                  <c:v>-2.2651126872454269E-2</c:v>
                </c:pt>
                <c:pt idx="30">
                  <c:v>0.45777514456803664</c:v>
                </c:pt>
                <c:pt idx="31">
                  <c:v>-6.9568953280015694E-2</c:v>
                </c:pt>
                <c:pt idx="32">
                  <c:v>-0.68515839879258855</c:v>
                </c:pt>
                <c:pt idx="33">
                  <c:v>-0.15564706249659699</c:v>
                </c:pt>
                <c:pt idx="34">
                  <c:v>-0.65884002953656107</c:v>
                </c:pt>
                <c:pt idx="35">
                  <c:v>-0.17880892521911096</c:v>
                </c:pt>
                <c:pt idx="36">
                  <c:v>0.1914784329832413</c:v>
                </c:pt>
                <c:pt idx="37">
                  <c:v>-0.20005307671601355</c:v>
                </c:pt>
                <c:pt idx="38">
                  <c:v>0.1586597694356652</c:v>
                </c:pt>
                <c:pt idx="39">
                  <c:v>-0.18409013069152708</c:v>
                </c:pt>
                <c:pt idx="40">
                  <c:v>0.12945083110575409</c:v>
                </c:pt>
                <c:pt idx="41">
                  <c:v>-0.12259330690947148</c:v>
                </c:pt>
                <c:pt idx="42">
                  <c:v>-0.29641632684876534</c:v>
                </c:pt>
                <c:pt idx="43">
                  <c:v>-6.5913713486582676E-2</c:v>
                </c:pt>
                <c:pt idx="44">
                  <c:v>8.3097965701243184E-2</c:v>
                </c:pt>
                <c:pt idx="45">
                  <c:v>9.8076089299742944E-3</c:v>
                </c:pt>
                <c:pt idx="46">
                  <c:v>2.2900721533367727E-2</c:v>
                </c:pt>
                <c:pt idx="47">
                  <c:v>1.1573532397628815E-2</c:v>
                </c:pt>
                <c:pt idx="48">
                  <c:v>0.14524716404746338</c:v>
                </c:pt>
                <c:pt idx="49">
                  <c:v>-3.2377350891053876E-2</c:v>
                </c:pt>
                <c:pt idx="50">
                  <c:v>-0.36130768297444493</c:v>
                </c:pt>
                <c:pt idx="51">
                  <c:v>-0.13089781667272155</c:v>
                </c:pt>
                <c:pt idx="52">
                  <c:v>-0.58454207420127524</c:v>
                </c:pt>
                <c:pt idx="53">
                  <c:v>-0.10863596316760218</c:v>
                </c:pt>
                <c:pt idx="54">
                  <c:v>0.25744135785430883</c:v>
                </c:pt>
                <c:pt idx="55">
                  <c:v>-7.6348538078076802E-2</c:v>
                </c:pt>
                <c:pt idx="56">
                  <c:v>0.11688062895840566</c:v>
                </c:pt>
                <c:pt idx="57">
                  <c:v>0.12851315067122304</c:v>
                </c:pt>
                <c:pt idx="58">
                  <c:v>-4.9185512894593539E-2</c:v>
                </c:pt>
                <c:pt idx="59">
                  <c:v>6.1661733350920904E-4</c:v>
                </c:pt>
                <c:pt idx="60">
                  <c:v>-0.24623259757171739</c:v>
                </c:pt>
                <c:pt idx="61">
                  <c:v>1.0485066140489364E-2</c:v>
                </c:pt>
                <c:pt idx="62">
                  <c:v>-0.35507966561429877</c:v>
                </c:pt>
                <c:pt idx="63">
                  <c:v>-5.0779518446133043E-2</c:v>
                </c:pt>
                <c:pt idx="64">
                  <c:v>0.22448850379754054</c:v>
                </c:pt>
                <c:pt idx="65">
                  <c:v>-8.3104232913378373E-2</c:v>
                </c:pt>
                <c:pt idx="66">
                  <c:v>0.16004300820166673</c:v>
                </c:pt>
                <c:pt idx="67">
                  <c:v>-9.6845022191477281E-2</c:v>
                </c:pt>
                <c:pt idx="68">
                  <c:v>-0.14448898283816997</c:v>
                </c:pt>
                <c:pt idx="69">
                  <c:v>4.564342907920494E-2</c:v>
                </c:pt>
                <c:pt idx="70">
                  <c:v>-0.1042243257066269</c:v>
                </c:pt>
                <c:pt idx="71">
                  <c:v>-7.4635882668239631E-2</c:v>
                </c:pt>
                <c:pt idx="72">
                  <c:v>4.1148881488696346E-2</c:v>
                </c:pt>
                <c:pt idx="73">
                  <c:v>1.5826525464763867E-2</c:v>
                </c:pt>
                <c:pt idx="74">
                  <c:v>6.8141658569714977E-2</c:v>
                </c:pt>
                <c:pt idx="75">
                  <c:v>-1.7241309867965196E-2</c:v>
                </c:pt>
                <c:pt idx="76">
                  <c:v>0.15651418237602119</c:v>
                </c:pt>
                <c:pt idx="77">
                  <c:v>-3.3181599813200999E-2</c:v>
                </c:pt>
                <c:pt idx="78">
                  <c:v>0.15774241184398857</c:v>
                </c:pt>
                <c:pt idx="79">
                  <c:v>-4.6988961631305066E-2</c:v>
                </c:pt>
                <c:pt idx="80">
                  <c:v>0.17478823816827743</c:v>
                </c:pt>
                <c:pt idx="81">
                  <c:v>0.15804763031979657</c:v>
                </c:pt>
                <c:pt idx="82">
                  <c:v>0.18424968026931149</c:v>
                </c:pt>
                <c:pt idx="83">
                  <c:v>0.22124748735732697</c:v>
                </c:pt>
                <c:pt idx="84">
                  <c:v>-1.6222703891344281E-6</c:v>
                </c:pt>
                <c:pt idx="85">
                  <c:v>6.1367727564127367E-2</c:v>
                </c:pt>
                <c:pt idx="86">
                  <c:v>-0.3297159399459007</c:v>
                </c:pt>
                <c:pt idx="87">
                  <c:v>-0.15751808967342129</c:v>
                </c:pt>
                <c:pt idx="88">
                  <c:v>-0.47533031517231683</c:v>
                </c:pt>
                <c:pt idx="89">
                  <c:v>-0.28255880618493462</c:v>
                </c:pt>
                <c:pt idx="90">
                  <c:v>-0.53422403936976537</c:v>
                </c:pt>
                <c:pt idx="91">
                  <c:v>-0.29687518538461544</c:v>
                </c:pt>
                <c:pt idx="92">
                  <c:v>-5.842485109217456E-2</c:v>
                </c:pt>
                <c:pt idx="93">
                  <c:v>-0.17208211839066523</c:v>
                </c:pt>
                <c:pt idx="94">
                  <c:v>1.1609750584103616E-2</c:v>
                </c:pt>
                <c:pt idx="95">
                  <c:v>-6.8951999738042558E-2</c:v>
                </c:pt>
                <c:pt idx="96">
                  <c:v>-9.2556171741357135E-2</c:v>
                </c:pt>
                <c:pt idx="97">
                  <c:v>2.6490931174370659E-2</c:v>
                </c:pt>
                <c:pt idx="98">
                  <c:v>0.10275890194080564</c:v>
                </c:pt>
                <c:pt idx="99">
                  <c:v>4.388673551456386E-2</c:v>
                </c:pt>
                <c:pt idx="100">
                  <c:v>0.13019878907159538</c:v>
                </c:pt>
                <c:pt idx="101">
                  <c:v>-1.9341664009350619E-2</c:v>
                </c:pt>
                <c:pt idx="102">
                  <c:v>0.18080154621548838</c:v>
                </c:pt>
                <c:pt idx="103">
                  <c:v>9.7132166377034528E-3</c:v>
                </c:pt>
                <c:pt idx="104">
                  <c:v>0.2097848008294548</c:v>
                </c:pt>
                <c:pt idx="105">
                  <c:v>-0.15055933358873932</c:v>
                </c:pt>
                <c:pt idx="106">
                  <c:v>0.13569895544668156</c:v>
                </c:pt>
                <c:pt idx="107">
                  <c:v>-3.9582104548660818E-2</c:v>
                </c:pt>
                <c:pt idx="108">
                  <c:v>0.16201137491149387</c:v>
                </c:pt>
                <c:pt idx="109">
                  <c:v>4.1282191355346901E-2</c:v>
                </c:pt>
                <c:pt idx="110">
                  <c:v>-3.2486613621737154E-3</c:v>
                </c:pt>
                <c:pt idx="111">
                  <c:v>-2.3936612250771622E-2</c:v>
                </c:pt>
                <c:pt idx="112">
                  <c:v>-0.25869068306884446</c:v>
                </c:pt>
                <c:pt idx="113">
                  <c:v>5.2109760545349784E-2</c:v>
                </c:pt>
                <c:pt idx="114">
                  <c:v>-0.30830604470325373</c:v>
                </c:pt>
                <c:pt idx="115">
                  <c:v>0.43926190067180826</c:v>
                </c:pt>
                <c:pt idx="116">
                  <c:v>-0.1341546542428847</c:v>
                </c:pt>
                <c:pt idx="117">
                  <c:v>0.96151415342534596</c:v>
                </c:pt>
                <c:pt idx="118">
                  <c:v>2.3013880024731055</c:v>
                </c:pt>
                <c:pt idx="119">
                  <c:v>1.4289455992999822</c:v>
                </c:pt>
                <c:pt idx="120">
                  <c:v>9.589883704773886E-4</c:v>
                </c:pt>
                <c:pt idx="121">
                  <c:v>0.74861342084241211</c:v>
                </c:pt>
                <c:pt idx="122">
                  <c:v>-1.1700109265902783</c:v>
                </c:pt>
                <c:pt idx="123">
                  <c:v>-0.78652181156080214</c:v>
                </c:pt>
                <c:pt idx="124">
                  <c:v>-0.28205447796036587</c:v>
                </c:pt>
                <c:pt idx="125">
                  <c:v>-1.0747855068464827</c:v>
                </c:pt>
                <c:pt idx="126">
                  <c:v>-1.2807273929774801</c:v>
                </c:pt>
                <c:pt idx="127">
                  <c:v>-0.61166332974843096</c:v>
                </c:pt>
                <c:pt idx="128">
                  <c:v>-0.91332228062705301</c:v>
                </c:pt>
                <c:pt idx="129">
                  <c:v>-0.95354752354468308</c:v>
                </c:pt>
                <c:pt idx="130">
                  <c:v>-1.3189335872201393</c:v>
                </c:pt>
                <c:pt idx="131">
                  <c:v>-1.5316076281722768</c:v>
                </c:pt>
                <c:pt idx="132">
                  <c:v>-1.5614979965508937</c:v>
                </c:pt>
                <c:pt idx="133">
                  <c:v>-1.7291252785728382</c:v>
                </c:pt>
                <c:pt idx="134">
                  <c:v>-1.526512436749434</c:v>
                </c:pt>
                <c:pt idx="135">
                  <c:v>-1.395998562368808</c:v>
                </c:pt>
                <c:pt idx="136">
                  <c:v>-1.1155473723625282</c:v>
                </c:pt>
                <c:pt idx="137">
                  <c:v>-0.94067757427445398</c:v>
                </c:pt>
                <c:pt idx="138">
                  <c:v>-0.63016366570972748</c:v>
                </c:pt>
                <c:pt idx="139">
                  <c:v>-0.36915257009180502</c:v>
                </c:pt>
                <c:pt idx="140">
                  <c:v>-9.9749204774479516E-2</c:v>
                </c:pt>
                <c:pt idx="141">
                  <c:v>4.2765572242345978E-2</c:v>
                </c:pt>
                <c:pt idx="142">
                  <c:v>5.3877280868739441E-2</c:v>
                </c:pt>
                <c:pt idx="143">
                  <c:v>0.17878605182949175</c:v>
                </c:pt>
                <c:pt idx="144">
                  <c:v>0.32459915355978908</c:v>
                </c:pt>
                <c:pt idx="145">
                  <c:v>0.44180718780400674</c:v>
                </c:pt>
                <c:pt idx="146">
                  <c:v>0.3830332346508003</c:v>
                </c:pt>
                <c:pt idx="147">
                  <c:v>0.25626122237441806</c:v>
                </c:pt>
                <c:pt idx="148">
                  <c:v>0.136397275648835</c:v>
                </c:pt>
                <c:pt idx="149">
                  <c:v>3.7246815761724429E-2</c:v>
                </c:pt>
                <c:pt idx="150">
                  <c:v>8.1882138654613599E-4</c:v>
                </c:pt>
                <c:pt idx="151">
                  <c:v>-0.31961014684720734</c:v>
                </c:pt>
                <c:pt idx="152">
                  <c:v>-0.47787587345018062</c:v>
                </c:pt>
                <c:pt idx="153">
                  <c:v>-0.43658944937535404</c:v>
                </c:pt>
                <c:pt idx="154">
                  <c:v>-0.55343377577725106</c:v>
                </c:pt>
                <c:pt idx="155">
                  <c:v>-0.71305142789128084</c:v>
                </c:pt>
                <c:pt idx="156">
                  <c:v>-0.63066548672853173</c:v>
                </c:pt>
                <c:pt idx="157">
                  <c:v>-0.47125090994484303</c:v>
                </c:pt>
                <c:pt idx="158">
                  <c:v>-0.38117623356392821</c:v>
                </c:pt>
                <c:pt idx="159">
                  <c:v>-5.5763137442627828E-3</c:v>
                </c:pt>
                <c:pt idx="160">
                  <c:v>-0.29350473786252429</c:v>
                </c:pt>
                <c:pt idx="161">
                  <c:v>5.8511545717203309E-2</c:v>
                </c:pt>
                <c:pt idx="162">
                  <c:v>-0.17871625647320738</c:v>
                </c:pt>
                <c:pt idx="163">
                  <c:v>0.33290419607918431</c:v>
                </c:pt>
                <c:pt idx="164">
                  <c:v>0.33462466809299463</c:v>
                </c:pt>
                <c:pt idx="165">
                  <c:v>0.52980239874210322</c:v>
                </c:pt>
                <c:pt idx="166">
                  <c:v>0.42066254530833003</c:v>
                </c:pt>
                <c:pt idx="167">
                  <c:v>0.46262807934162126</c:v>
                </c:pt>
                <c:pt idx="168">
                  <c:v>0.30005014525707308</c:v>
                </c:pt>
                <c:pt idx="169">
                  <c:v>0.2368491149230775</c:v>
                </c:pt>
                <c:pt idx="170">
                  <c:v>0.3584901332607634</c:v>
                </c:pt>
                <c:pt idx="171">
                  <c:v>2.9177313699212268E-2</c:v>
                </c:pt>
                <c:pt idx="172">
                  <c:v>-0.18550795835904632</c:v>
                </c:pt>
                <c:pt idx="173">
                  <c:v>-0.32672493040820533</c:v>
                </c:pt>
                <c:pt idx="174">
                  <c:v>-0.4181268514475161</c:v>
                </c:pt>
                <c:pt idx="175">
                  <c:v>-0.31870302374083692</c:v>
                </c:pt>
                <c:pt idx="176">
                  <c:v>-0.45605773300166319</c:v>
                </c:pt>
                <c:pt idx="177">
                  <c:v>-0.57788425089388407</c:v>
                </c:pt>
                <c:pt idx="178">
                  <c:v>-0.42645766674571545</c:v>
                </c:pt>
                <c:pt idx="179">
                  <c:v>-0.52792661197003288</c:v>
                </c:pt>
                <c:pt idx="180">
                  <c:v>-0.38904673761388808</c:v>
                </c:pt>
                <c:pt idx="181">
                  <c:v>-0.35325884138302188</c:v>
                </c:pt>
                <c:pt idx="182">
                  <c:v>-0.68235600393118989</c:v>
                </c:pt>
                <c:pt idx="183">
                  <c:v>-0.44899282523812933</c:v>
                </c:pt>
                <c:pt idx="184">
                  <c:v>-0.36109380539452279</c:v>
                </c:pt>
                <c:pt idx="185">
                  <c:v>-0.11795587613558088</c:v>
                </c:pt>
                <c:pt idx="186">
                  <c:v>-0.45222507121184508</c:v>
                </c:pt>
                <c:pt idx="187">
                  <c:v>-0.20618683305878427</c:v>
                </c:pt>
                <c:pt idx="188">
                  <c:v>-0.32536552123992263</c:v>
                </c:pt>
                <c:pt idx="189">
                  <c:v>-0.18154274572879867</c:v>
                </c:pt>
                <c:pt idx="190">
                  <c:v>-0.4609413807086129</c:v>
                </c:pt>
                <c:pt idx="191">
                  <c:v>-0.11660230951672554</c:v>
                </c:pt>
                <c:pt idx="192">
                  <c:v>-0.58541696955105371</c:v>
                </c:pt>
                <c:pt idx="193">
                  <c:v>4.010019981816676E-2</c:v>
                </c:pt>
                <c:pt idx="194">
                  <c:v>-0.8716005347783653</c:v>
                </c:pt>
                <c:pt idx="195">
                  <c:v>0.21619684607557751</c:v>
                </c:pt>
                <c:pt idx="196">
                  <c:v>-0.60850107656458452</c:v>
                </c:pt>
                <c:pt idx="197">
                  <c:v>-0.29942064111925049</c:v>
                </c:pt>
                <c:pt idx="198">
                  <c:v>0.32785852955656802</c:v>
                </c:pt>
                <c:pt idx="199">
                  <c:v>0.55973794555702183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A-4046-B6A3-1F473060D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592800"/>
        <c:axId val="1570748128"/>
      </c:scatterChart>
      <c:valAx>
        <c:axId val="1404592800"/>
        <c:scaling>
          <c:orientation val="minMax"/>
          <c:max val="630"/>
          <c:min val="3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0748128"/>
        <c:crosses val="autoZero"/>
        <c:crossBetween val="midCat"/>
      </c:valAx>
      <c:valAx>
        <c:axId val="1570748128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9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133351</xdr:colOff>
      <xdr:row>0</xdr:row>
      <xdr:rowOff>0</xdr:rowOff>
    </xdr:from>
    <xdr:to>
      <xdr:col>11</xdr:col>
      <xdr:colOff>533400</xdr:colOff>
      <xdr:row>11</xdr:row>
      <xdr:rowOff>137160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42951" y="0"/>
          <a:ext cx="7219949" cy="214884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u="sng"/>
            <a:t>TL</a:t>
          </a:r>
          <a:r>
            <a:rPr lang="en-US" sz="1100" b="1" u="sng" baseline="0"/>
            <a:t>_Deco_WL with Lambert fitting</a:t>
          </a:r>
        </a:p>
        <a:p>
          <a:r>
            <a:rPr lang="en-US" sz="1100" b="1"/>
            <a:t>p(T)=s*exp(-E-kT)</a:t>
          </a:r>
          <a:r>
            <a:rPr lang="el-GR" sz="1100" b="1"/>
            <a:t>                        </a:t>
          </a:r>
          <a:endParaRPr lang="en-US" sz="1100" b="1"/>
        </a:p>
        <a:p>
          <a:r>
            <a:rPr lang="el-GR" sz="1100" b="1"/>
            <a:t>                                                                                                      </a:t>
          </a:r>
          <a:endParaRPr lang="en-US" sz="1100" b="1"/>
        </a:p>
        <a:p>
          <a:r>
            <a:rPr lang="en-US" sz="1100" b="1"/>
            <a:t>Ri=An/Am</a:t>
          </a:r>
          <a:r>
            <a:rPr lang="el-GR" sz="1100" b="1"/>
            <a:t> 		</a:t>
          </a:r>
          <a:endParaRPr lang="en-US" sz="1100" b="1"/>
        </a:p>
        <a:p>
          <a:r>
            <a:rPr lang="el-GR" sz="1100" b="1"/>
            <a:t>			</a:t>
          </a:r>
          <a:r>
            <a:rPr lang="el-GR" sz="1100" b="1" baseline="0"/>
            <a:t>             </a:t>
          </a:r>
          <a:endParaRPr lang="en-US" sz="1100" b="1"/>
        </a:p>
        <a:p>
          <a:r>
            <a:rPr lang="en-US" sz="1100" b="1"/>
            <a:t>C=(n0/N)*[(1-Ri)/Ri]&gt;0</a:t>
          </a:r>
          <a:r>
            <a:rPr lang="en-US" sz="1100" b="1" baseline="0"/>
            <a:t> </a:t>
          </a:r>
          <a:r>
            <a:rPr lang="el-GR" sz="1100" b="1" baseline="0"/>
            <a:t>όπου </a:t>
          </a:r>
          <a:r>
            <a:rPr lang="en-US" sz="1100" b="1" baseline="0"/>
            <a:t>Ri&lt;1  </a:t>
          </a:r>
          <a:r>
            <a:rPr lang="el-GR" sz="1100" b="1" baseline="0"/>
            <a:t>άρα </a:t>
          </a:r>
          <a:r>
            <a:rPr lang="en-US" sz="1100" b="1" baseline="0"/>
            <a:t>An&lt;Am</a:t>
          </a:r>
          <a:r>
            <a:rPr lang="el-GR" sz="1100" b="1" baseline="0"/>
            <a:t> και αν </a:t>
          </a:r>
          <a:r>
            <a:rPr lang="en-US" sz="1100" b="1" baseline="0"/>
            <a:t>n0=N </a:t>
          </a:r>
          <a:r>
            <a:rPr lang="el-GR" sz="1100" b="1" baseline="0"/>
            <a:t>τότε </a:t>
          </a:r>
          <a:r>
            <a:rPr lang="en-US" sz="1100" b="1" baseline="0"/>
            <a:t>C=(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1-Ri)/Ri</a:t>
          </a:r>
        </a:p>
        <a:p>
          <a:endParaRPr lang="en-US" sz="1100" b="1" baseline="0"/>
        </a:p>
        <a:p>
          <a:r>
            <a:rPr lang="en-US" sz="1100" b="1" baseline="0"/>
            <a:t>Zi=1/C+ln[C] + ((E*exp(E/kTm)/[kTm^2(-1,05*R^1,26+1)])*F(T,E)</a:t>
          </a:r>
        </a:p>
        <a:p>
          <a:endParaRPr lang="en-US" sz="1100" b="1"/>
        </a:p>
        <a:p>
          <a:r>
            <a:rPr lang="en-US" sz="1100" b="1"/>
            <a:t>F(T,E)=T*exp(-E/kT)+(E/k)*Ei(-E/kT)</a:t>
          </a:r>
        </a:p>
        <a:p>
          <a:endParaRPr lang="en-US" sz="1100" b="1"/>
        </a:p>
        <a:p>
          <a:r>
            <a:rPr lang="en-US" sz="1100" b="1"/>
            <a:t>Itot </a:t>
          </a:r>
          <a:r>
            <a:rPr lang="el-GR" sz="1100" b="1"/>
            <a:t>=ΣΙ</a:t>
          </a:r>
          <a:r>
            <a:rPr lang="el-GR" sz="1100" b="1" baseline="0"/>
            <a:t> ,όπου </a:t>
          </a:r>
          <a:r>
            <a:rPr lang="en-US" sz="1100" b="1" baseline="0"/>
            <a:t>I=</a:t>
          </a:r>
          <a:r>
            <a:rPr lang="en-US" sz="1100" b="1"/>
            <a:t>(Im*(W(e^z1m)+W(e^z1m)^2) / (W(e^z1)+W(e^z1)^2))*exp((-E*</a:t>
          </a:r>
          <a:r>
            <a:rPr lang="el-GR" sz="1100" b="1"/>
            <a:t>(Τ-Τ</a:t>
          </a:r>
          <a:r>
            <a:rPr lang="en-US" sz="1100" b="1"/>
            <a:t>m)/k*T*Tm)</a:t>
          </a:r>
          <a:endParaRPr lang="el-GR" sz="1100" b="1"/>
        </a:p>
      </xdr:txBody>
    </xdr:sp>
    <xdr:clientData/>
  </xdr:twoCellAnchor>
  <xdr:twoCellAnchor>
    <xdr:from>
      <xdr:col>13</xdr:col>
      <xdr:colOff>523875</xdr:colOff>
      <xdr:row>0</xdr:row>
      <xdr:rowOff>133350</xdr:rowOff>
    </xdr:from>
    <xdr:to>
      <xdr:col>16</xdr:col>
      <xdr:colOff>304800</xdr:colOff>
      <xdr:row>8</xdr:row>
      <xdr:rowOff>133350</xdr:rowOff>
    </xdr:to>
    <xdr:sp macro="" textlink="">
      <xdr:nvSpPr>
        <xdr:cNvPr id="3" name="2 - TextBox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77325" y="133350"/>
          <a:ext cx="1914525" cy="15240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l-GR" sz="1100" b="1" u="sng"/>
            <a:t>Παράμετροι:</a:t>
          </a:r>
        </a:p>
        <a:p>
          <a:r>
            <a:rPr lang="en-US" sz="11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Im &gt;= 0</a:t>
          </a:r>
          <a:r>
            <a:rPr lang="en-US"/>
            <a:t> </a:t>
          </a:r>
          <a:endParaRPr lang="el-GR"/>
        </a:p>
        <a:p>
          <a:r>
            <a:rPr lang="en-US" sz="11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Tm &gt;= 273</a:t>
          </a:r>
          <a:r>
            <a:rPr lang="en-US"/>
            <a:t> </a:t>
          </a:r>
          <a:endParaRPr lang="el-GR"/>
        </a:p>
        <a:p>
          <a:r>
            <a:rPr lang="en-US" sz="11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0,3 =&lt; E =&lt; 2,5</a:t>
          </a:r>
          <a:r>
            <a:rPr lang="en-US"/>
            <a:t> </a:t>
          </a:r>
          <a:endParaRPr lang="el-GR"/>
        </a:p>
        <a:p>
          <a:r>
            <a:rPr lang="en-US" sz="1100" b="1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0,00001 =&lt; R =&lt; 0,9</a:t>
          </a:r>
          <a:r>
            <a:rPr lang="en-US"/>
            <a:t> </a:t>
          </a:r>
          <a:endParaRPr lang="el-GR" sz="1100"/>
        </a:p>
      </xdr:txBody>
    </xdr:sp>
    <xdr:clientData/>
  </xdr:twoCellAnchor>
  <xdr:twoCellAnchor>
    <xdr:from>
      <xdr:col>5</xdr:col>
      <xdr:colOff>320040</xdr:colOff>
      <xdr:row>44</xdr:row>
      <xdr:rowOff>125730</xdr:rowOff>
    </xdr:from>
    <xdr:to>
      <xdr:col>15</xdr:col>
      <xdr:colOff>918210</xdr:colOff>
      <xdr:row>65</xdr:row>
      <xdr:rowOff>15240</xdr:rowOff>
    </xdr:to>
    <xdr:graphicFrame macro="">
      <xdr:nvGraphicFramePr>
        <xdr:cNvPr id="5" name="4 - Γράφημα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236220</xdr:colOff>
      <xdr:row>90</xdr:row>
      <xdr:rowOff>140970</xdr:rowOff>
    </xdr:from>
    <xdr:to>
      <xdr:col>40</xdr:col>
      <xdr:colOff>579120</xdr:colOff>
      <xdr:row>117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58DA21-4AC8-49FF-B365-DC86867BC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____1"/>
  <dimension ref="B12:AS384"/>
  <sheetViews>
    <sheetView tabSelected="1" topLeftCell="B1" workbookViewId="0">
      <selection activeCell="M8" sqref="M8"/>
    </sheetView>
  </sheetViews>
  <sheetFormatPr defaultRowHeight="14.4" x14ac:dyDescent="0.3"/>
  <cols>
    <col min="3" max="3" width="13.44140625" customWidth="1"/>
    <col min="4" max="4" width="9.21875" bestFit="1" customWidth="1"/>
    <col min="5" max="5" width="11" bestFit="1" customWidth="1"/>
    <col min="9" max="9" width="12.44140625" customWidth="1"/>
    <col min="15" max="15" width="9.33203125" customWidth="1"/>
    <col min="16" max="16" width="13.5546875" customWidth="1"/>
    <col min="17" max="17" width="13.109375" customWidth="1"/>
    <col min="18" max="18" width="12.109375" customWidth="1"/>
    <col min="19" max="19" width="12.44140625" customWidth="1"/>
    <col min="20" max="20" width="13" customWidth="1"/>
    <col min="21" max="21" width="13.33203125" customWidth="1"/>
    <col min="22" max="22" width="12.33203125" customWidth="1"/>
    <col min="23" max="23" width="11.5546875" customWidth="1"/>
    <col min="24" max="24" width="14.6640625" customWidth="1"/>
    <col min="25" max="25" width="12.109375" customWidth="1"/>
    <col min="26" max="26" width="5.88671875" customWidth="1"/>
    <col min="30" max="31" width="12" bestFit="1" customWidth="1"/>
    <col min="36" max="36" width="14.33203125" customWidth="1"/>
    <col min="37" max="37" width="3.5546875" customWidth="1"/>
    <col min="38" max="38" width="11" customWidth="1"/>
    <col min="39" max="39" width="3.6640625" customWidth="1"/>
    <col min="40" max="40" width="20.109375" customWidth="1"/>
    <col min="41" max="41" width="22.5546875" customWidth="1"/>
    <col min="43" max="43" width="12" bestFit="1" customWidth="1"/>
  </cols>
  <sheetData>
    <row r="12" spans="3:28" x14ac:dyDescent="0.3">
      <c r="O12" s="21" t="s">
        <v>93</v>
      </c>
    </row>
    <row r="13" spans="3:28" x14ac:dyDescent="0.3">
      <c r="C13" s="3" t="s">
        <v>0</v>
      </c>
      <c r="D13" s="1">
        <v>10000</v>
      </c>
      <c r="I13" s="6"/>
      <c r="J13" s="6">
        <v>1</v>
      </c>
      <c r="K13" s="6">
        <v>2</v>
      </c>
      <c r="L13" s="6">
        <v>3</v>
      </c>
      <c r="M13" s="6">
        <v>4</v>
      </c>
      <c r="N13" s="6">
        <v>5</v>
      </c>
      <c r="O13" s="6">
        <v>6</v>
      </c>
      <c r="P13" s="6">
        <v>7</v>
      </c>
      <c r="Q13" s="6">
        <v>8</v>
      </c>
      <c r="R13" s="6">
        <v>9</v>
      </c>
      <c r="S13" s="6">
        <v>10</v>
      </c>
    </row>
    <row r="14" spans="3:28" x14ac:dyDescent="0.3">
      <c r="C14" s="3" t="s">
        <v>1</v>
      </c>
      <c r="D14" s="2">
        <v>8.6169999999999997E-5</v>
      </c>
      <c r="I14" s="15" t="s">
        <v>3</v>
      </c>
      <c r="J14" s="5">
        <v>1.7302317779136329</v>
      </c>
      <c r="K14" s="5">
        <v>6.5678747210150936</v>
      </c>
      <c r="L14" s="5">
        <v>6.4231622833838751</v>
      </c>
      <c r="M14" s="5">
        <v>7.2037330276473464</v>
      </c>
      <c r="N14" s="5">
        <v>19.296679729589144</v>
      </c>
      <c r="O14" s="5">
        <v>0.25262360536088019</v>
      </c>
      <c r="P14" s="5">
        <v>0.48913658223175427</v>
      </c>
      <c r="Q14" s="5">
        <v>0.23439638708926314</v>
      </c>
      <c r="R14" s="5">
        <v>0</v>
      </c>
      <c r="S14" s="5">
        <v>0</v>
      </c>
    </row>
    <row r="15" spans="3:28" x14ac:dyDescent="0.3">
      <c r="C15" s="33"/>
      <c r="D15" s="33"/>
      <c r="I15" s="4" t="s">
        <v>4</v>
      </c>
      <c r="J15" s="5">
        <v>337.85875255671328</v>
      </c>
      <c r="K15" s="5">
        <v>391.5008069618209</v>
      </c>
      <c r="L15" s="5">
        <v>430.06563974448545</v>
      </c>
      <c r="M15" s="5">
        <v>461.68135565589193</v>
      </c>
      <c r="N15" s="5">
        <v>487.97598859467769</v>
      </c>
      <c r="O15" s="5">
        <v>525</v>
      </c>
      <c r="P15" s="5">
        <v>552.28321057992719</v>
      </c>
      <c r="Q15" s="5">
        <v>597.42359912374468</v>
      </c>
      <c r="R15" s="5">
        <v>275.75501332280476</v>
      </c>
      <c r="S15" s="5">
        <v>633.44195538740848</v>
      </c>
    </row>
    <row r="16" spans="3:28" x14ac:dyDescent="0.3">
      <c r="C16" s="3"/>
      <c r="D16" s="1"/>
      <c r="I16" s="4" t="s">
        <v>5</v>
      </c>
      <c r="J16" s="5">
        <v>0.97201030266974642</v>
      </c>
      <c r="K16" s="5">
        <v>1.2573189309331609</v>
      </c>
      <c r="L16" s="5">
        <v>1.3617712019999999</v>
      </c>
      <c r="M16" s="5">
        <v>1.64</v>
      </c>
      <c r="N16" s="5">
        <v>2.2000000000000002</v>
      </c>
      <c r="O16" s="5">
        <v>1.7348115152003905</v>
      </c>
      <c r="P16" s="5">
        <v>2.2788654314476506</v>
      </c>
      <c r="Q16" s="5">
        <v>2.3788654314476507</v>
      </c>
      <c r="R16" s="5">
        <v>0.3</v>
      </c>
      <c r="S16" s="5">
        <v>1.6536189618421298</v>
      </c>
      <c r="V16">
        <f>J16+0.1</f>
        <v>1.0720103026697465</v>
      </c>
      <c r="W16" s="20">
        <f t="shared" ref="W16:Z16" si="0">K16+0.1</f>
        <v>1.357318930933161</v>
      </c>
      <c r="X16" s="20">
        <f t="shared" si="0"/>
        <v>1.461771202</v>
      </c>
      <c r="Y16" s="20">
        <f t="shared" si="0"/>
        <v>1.74</v>
      </c>
      <c r="Z16" s="20">
        <f t="shared" si="0"/>
        <v>2.3000000000000003</v>
      </c>
      <c r="AA16" s="20">
        <f>O16+0.1</f>
        <v>1.8348115152003905</v>
      </c>
      <c r="AB16" s="20">
        <f>P16+0.1</f>
        <v>2.3788654314476507</v>
      </c>
    </row>
    <row r="17" spans="3:38" x14ac:dyDescent="0.3">
      <c r="C17" s="3"/>
      <c r="D17" s="1"/>
      <c r="I17" s="4" t="s">
        <v>6</v>
      </c>
      <c r="J17" s="5">
        <v>2.877459951347246E-2</v>
      </c>
      <c r="K17" s="5">
        <v>8.2677082911568039E-3</v>
      </c>
      <c r="L17" s="5">
        <v>4.3573186722543684E-2</v>
      </c>
      <c r="M17" s="5">
        <v>1.0000000000000026E-5</v>
      </c>
      <c r="N17" s="5">
        <v>1.7821792130212465E-2</v>
      </c>
      <c r="O17" s="5">
        <v>0.1399025843861787</v>
      </c>
      <c r="P17" s="5">
        <v>0.40592377921647105</v>
      </c>
      <c r="Q17" s="5">
        <v>0.19409492070850634</v>
      </c>
      <c r="R17" s="5">
        <v>1.0000000000000009E-5</v>
      </c>
      <c r="S17" s="5">
        <v>1.0000000000000009E-5</v>
      </c>
    </row>
    <row r="18" spans="3:38" x14ac:dyDescent="0.3">
      <c r="C18" s="1"/>
      <c r="D18" s="1"/>
    </row>
    <row r="19" spans="3:38" x14ac:dyDescent="0.3">
      <c r="I19" s="23" t="s">
        <v>7</v>
      </c>
      <c r="J19">
        <f>SUM(AA35:AA384)</f>
        <v>256535.78773891303</v>
      </c>
      <c r="K19" s="20">
        <f t="shared" ref="K19:R19" si="1">SUM(AB35:AB384)</f>
        <v>1197319.1801270086</v>
      </c>
      <c r="L19" s="20">
        <f t="shared" si="1"/>
        <v>1340580.5967606595</v>
      </c>
      <c r="M19" s="20">
        <f t="shared" si="1"/>
        <v>1415864.622102686</v>
      </c>
      <c r="N19" s="20">
        <f t="shared" si="1"/>
        <v>3198044.0387438065</v>
      </c>
      <c r="O19" s="20">
        <f t="shared" si="1"/>
        <v>66558.441917726203</v>
      </c>
      <c r="P19" s="20">
        <f t="shared" si="1"/>
        <v>123677.65990959057</v>
      </c>
      <c r="Q19" s="20">
        <f t="shared" si="1"/>
        <v>57517.20841046195</v>
      </c>
      <c r="R19" s="20">
        <f t="shared" si="1"/>
        <v>0</v>
      </c>
      <c r="S19" s="20">
        <f>SUM(AJ35:AJ384)</f>
        <v>10000</v>
      </c>
    </row>
    <row r="20" spans="3:38" x14ac:dyDescent="0.3">
      <c r="I20" s="10" t="s">
        <v>94</v>
      </c>
      <c r="J20">
        <f>100*J19/SUM($J$19:$S$19)</f>
        <v>3.3463673863252681</v>
      </c>
      <c r="K20" s="20">
        <f t="shared" ref="K20:S20" si="2">100*K19/SUM($J$19:$S$19)</f>
        <v>15.618366118478885</v>
      </c>
      <c r="L20" s="20">
        <f t="shared" si="2"/>
        <v>17.487132018812122</v>
      </c>
      <c r="M20" s="20">
        <f t="shared" si="2"/>
        <v>18.469170467857833</v>
      </c>
      <c r="N20" s="20">
        <f t="shared" si="2"/>
        <v>41.716714714969541</v>
      </c>
      <c r="O20" s="20">
        <f t="shared" si="2"/>
        <v>0.86821804193956753</v>
      </c>
      <c r="P20" s="20">
        <f t="shared" si="2"/>
        <v>1.6133066313527191</v>
      </c>
      <c r="Q20" s="20">
        <f t="shared" si="2"/>
        <v>0.75028015417923533</v>
      </c>
      <c r="R20" s="20">
        <f t="shared" si="2"/>
        <v>0</v>
      </c>
      <c r="S20" s="20">
        <f t="shared" si="2"/>
        <v>0.13044446608482568</v>
      </c>
    </row>
    <row r="21" spans="3:38" x14ac:dyDescent="0.3">
      <c r="I21" s="31"/>
    </row>
    <row r="22" spans="3:38" x14ac:dyDescent="0.3">
      <c r="I22" s="10" t="s">
        <v>8</v>
      </c>
      <c r="J22">
        <f>SUM(AN35:AN384)</f>
        <v>507368159.56483293</v>
      </c>
    </row>
    <row r="23" spans="3:38" x14ac:dyDescent="0.3">
      <c r="I23" s="31"/>
    </row>
    <row r="24" spans="3:38" x14ac:dyDescent="0.3">
      <c r="I24" s="10" t="s">
        <v>9</v>
      </c>
      <c r="J24">
        <f>SUM(AQ35:AQ384)*100</f>
        <v>1.9516528676060245</v>
      </c>
    </row>
    <row r="28" spans="3:38" x14ac:dyDescent="0.3">
      <c r="E28" s="19" t="s">
        <v>23</v>
      </c>
      <c r="F28" s="19" t="s">
        <v>24</v>
      </c>
      <c r="G28" s="19" t="s">
        <v>25</v>
      </c>
      <c r="H28" s="19" t="s">
        <v>26</v>
      </c>
      <c r="I28" s="19" t="s">
        <v>27</v>
      </c>
      <c r="J28" s="19" t="s">
        <v>28</v>
      </c>
      <c r="K28" s="19" t="s">
        <v>29</v>
      </c>
      <c r="L28" s="19" t="s">
        <v>30</v>
      </c>
      <c r="M28" s="19" t="s">
        <v>31</v>
      </c>
      <c r="N28" s="19" t="s">
        <v>32</v>
      </c>
    </row>
    <row r="29" spans="3:38" x14ac:dyDescent="0.3">
      <c r="E29">
        <f t="shared" ref="E29:N29" si="3">(1-J17)/J17</f>
        <v>33.7528729125072</v>
      </c>
      <c r="F29" s="7">
        <f t="shared" si="3"/>
        <v>119.95250156196327</v>
      </c>
      <c r="G29" s="7">
        <f t="shared" si="3"/>
        <v>21.949893620762531</v>
      </c>
      <c r="H29" s="7">
        <f t="shared" si="3"/>
        <v>99998.999999999738</v>
      </c>
      <c r="I29" s="7">
        <f t="shared" si="3"/>
        <v>55.111079777703495</v>
      </c>
      <c r="J29" s="7">
        <f t="shared" si="3"/>
        <v>6.1478307880264742</v>
      </c>
      <c r="K29" s="7">
        <f t="shared" si="3"/>
        <v>1.4635166777621076</v>
      </c>
      <c r="L29" s="7">
        <f t="shared" si="3"/>
        <v>4.1521183364803749</v>
      </c>
      <c r="M29" s="7">
        <f t="shared" si="3"/>
        <v>99998.999999999913</v>
      </c>
      <c r="N29" s="7">
        <f t="shared" si="3"/>
        <v>99998.999999999913</v>
      </c>
    </row>
    <row r="31" spans="3:38" x14ac:dyDescent="0.3">
      <c r="E31" s="22" t="s">
        <v>46</v>
      </c>
      <c r="F31" s="22" t="s">
        <v>47</v>
      </c>
      <c r="G31" s="22" t="s">
        <v>48</v>
      </c>
      <c r="H31" s="22" t="s">
        <v>49</v>
      </c>
      <c r="I31" s="22" t="s">
        <v>50</v>
      </c>
      <c r="J31" s="22" t="s">
        <v>51</v>
      </c>
      <c r="K31" s="22" t="s">
        <v>52</v>
      </c>
      <c r="L31" s="22" t="s">
        <v>53</v>
      </c>
      <c r="M31" s="22" t="s">
        <v>54</v>
      </c>
      <c r="N31" s="22" t="s">
        <v>55</v>
      </c>
      <c r="O31" s="25"/>
      <c r="P31" s="18" t="s">
        <v>56</v>
      </c>
      <c r="Q31" s="18" t="s">
        <v>57</v>
      </c>
      <c r="R31" s="18" t="s">
        <v>58</v>
      </c>
      <c r="S31" s="18" t="s">
        <v>59</v>
      </c>
      <c r="T31" s="18" t="s">
        <v>60</v>
      </c>
      <c r="U31" s="18" t="s">
        <v>61</v>
      </c>
      <c r="V31" s="18" t="s">
        <v>62</v>
      </c>
      <c r="W31" s="18" t="s">
        <v>63</v>
      </c>
      <c r="X31" s="18" t="s">
        <v>64</v>
      </c>
      <c r="Y31" s="18" t="s">
        <v>65</v>
      </c>
      <c r="Z31" s="25"/>
    </row>
    <row r="32" spans="3:38" x14ac:dyDescent="0.3">
      <c r="C32" s="28" t="s">
        <v>92</v>
      </c>
      <c r="D32" s="30"/>
      <c r="E32">
        <f>1/$E$29-LN($E$29)+($J$16*EXP($J$16/($D$14*$J$15))/(($D$14*$J$15^2)*(1-1.05*($J$17^1.26))))*'F(T,E)'!F11</f>
        <v>-2.5379139241148772</v>
      </c>
      <c r="F32" s="20">
        <f>1/$F$29-LN($F$29)+($K$16*EXP($K$16/($D$14*$K$15))/(($D$14*$K$15^2)*(1-1.05*($K$17^1.26))))*'F(T,E)'!G11</f>
        <v>-3.8300548584427321</v>
      </c>
      <c r="G32">
        <f>1/$G$29-LN($G$29)+($L$16*EXP($L$16/($D$14*$L$15))/(($D$14*$L$15^2)*(1-1.05*($L$17^1.26))))*'F(T,E)'!H11</f>
        <v>-2.0780793697246698</v>
      </c>
      <c r="H32">
        <f>1/$H$29-LN($H$29)+($M$16*EXP($M$16/($D$14*$M$15))/(($D$14*$M$15^2)*(1-1.05*($M$17^1.26))))*'F(T,E)'!I11</f>
        <v>-10.561420918271635</v>
      </c>
      <c r="I32">
        <f>1/$I$29-LN($I$29)+($N$16*EXP($N$16/($D$14*$N$15))/(($D$14*$N$15^2)*(1-1.05*($N$17^1.26))))*'F(T,E)'!J11</f>
        <v>-3.0230738447905221</v>
      </c>
      <c r="J32">
        <f>1/$J$29-LN($J$29)+($O$16*EXP($O$16/($D$14*$O$15))/(($D$14*$O$15^2)*(1-1.05*($O$17^1.26))))*'F(T,E)'!K11</f>
        <v>-0.61403290578136893</v>
      </c>
      <c r="K32">
        <f>1/$K$29-LN($K$29)+($P$16*EXP($P$16/($D$14*$P$15))/(($D$14*$P$15^2)*(1-1.05*($P$17^1.26))))*'F(T,E)'!L11</f>
        <v>1.7480802488929761</v>
      </c>
      <c r="L32">
        <f>1/$L$29-LN($L$29)+($Q$16*EXP($Q$16/($D$14*$Q$15))/(($D$14*$Q$15^2)*(1-1.05*($Q$17^1.26))))*'F(T,E)'!M11</f>
        <v>-7.9203924347438948E-2</v>
      </c>
      <c r="M32">
        <f>1/$M$29-LN($M$29)+($R$16*EXP($R$16/($D$14*$R$15))/(($D$14*$R$15^2)*(1-1.05*($R$17^1.26))))*'F(T,E)'!N11</f>
        <v>-10.67131708525738</v>
      </c>
      <c r="N32">
        <f>1/$N$29-LN($N$29)+($S$16*EXP($S$16/($D$14*$S$15))/(($D$14*$S$15^2)*(1-1.05*($S$17^1.26))))*'F(T,E)'!O11</f>
        <v>-10.578922229472612</v>
      </c>
      <c r="O32" s="25"/>
      <c r="P32">
        <f t="shared" ref="P32:Y32" si="4">lmb_2(E32)</f>
        <v>7.3435389511298244E-2</v>
      </c>
      <c r="Q32" s="20">
        <f t="shared" si="4"/>
        <v>2.1251946143405049E-2</v>
      </c>
      <c r="R32" s="20">
        <f t="shared" si="4"/>
        <v>0.11191713931494654</v>
      </c>
      <c r="S32" s="20">
        <f t="shared" si="4"/>
        <v>2.5895358504728805E-5</v>
      </c>
      <c r="T32" s="20">
        <f t="shared" si="4"/>
        <v>4.6443562762646655E-2</v>
      </c>
      <c r="U32" s="20">
        <f t="shared" si="4"/>
        <v>0.37276749247852964</v>
      </c>
      <c r="V32" s="20">
        <f t="shared" si="4"/>
        <v>1.4067781553184624</v>
      </c>
      <c r="W32" s="20">
        <f t="shared" si="4"/>
        <v>0.53894248895163877</v>
      </c>
      <c r="X32" s="20">
        <f t="shared" si="4"/>
        <v>2.3200417455674197E-5</v>
      </c>
      <c r="Y32" s="20">
        <f t="shared" si="4"/>
        <v>2.544610999467358E-5</v>
      </c>
      <c r="Z32" s="25"/>
      <c r="AL32" s="28" t="s">
        <v>91</v>
      </c>
    </row>
    <row r="33" spans="2:45" x14ac:dyDescent="0.3">
      <c r="B33" s="25"/>
      <c r="C33" s="28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8"/>
      <c r="AM33" s="25"/>
      <c r="AN33" s="25"/>
      <c r="AO33" s="25"/>
      <c r="AP33" s="25"/>
      <c r="AQ33" s="25"/>
    </row>
    <row r="34" spans="2:45" ht="16.2" x14ac:dyDescent="0.3">
      <c r="B34" s="8" t="s">
        <v>10</v>
      </c>
      <c r="C34" s="29" t="s">
        <v>11</v>
      </c>
      <c r="D34" s="10" t="s">
        <v>12</v>
      </c>
      <c r="E34" s="24" t="s">
        <v>13</v>
      </c>
      <c r="F34" s="24" t="s">
        <v>14</v>
      </c>
      <c r="G34" s="24" t="s">
        <v>15</v>
      </c>
      <c r="H34" s="24" t="s">
        <v>16</v>
      </c>
      <c r="I34" s="24" t="s">
        <v>17</v>
      </c>
      <c r="J34" s="24" t="s">
        <v>18</v>
      </c>
      <c r="K34" s="24" t="s">
        <v>19</v>
      </c>
      <c r="L34" s="24" t="s">
        <v>20</v>
      </c>
      <c r="M34" s="24" t="s">
        <v>21</v>
      </c>
      <c r="N34" s="24" t="s">
        <v>22</v>
      </c>
      <c r="O34" s="25"/>
      <c r="P34" s="18" t="s">
        <v>66</v>
      </c>
      <c r="Q34" s="18" t="s">
        <v>67</v>
      </c>
      <c r="R34" s="18" t="s">
        <v>68</v>
      </c>
      <c r="S34" s="18" t="s">
        <v>69</v>
      </c>
      <c r="T34" s="18" t="s">
        <v>70</v>
      </c>
      <c r="U34" s="18" t="s">
        <v>71</v>
      </c>
      <c r="V34" s="18" t="s">
        <v>72</v>
      </c>
      <c r="W34" s="18" t="s">
        <v>73</v>
      </c>
      <c r="X34" s="18" t="s">
        <v>74</v>
      </c>
      <c r="Y34" s="18" t="s">
        <v>75</v>
      </c>
      <c r="Z34" s="25"/>
      <c r="AA34" s="26" t="s">
        <v>76</v>
      </c>
      <c r="AB34" s="26" t="s">
        <v>77</v>
      </c>
      <c r="AC34" s="26" t="s">
        <v>78</v>
      </c>
      <c r="AD34" s="26" t="s">
        <v>79</v>
      </c>
      <c r="AE34" s="26" t="s">
        <v>80</v>
      </c>
      <c r="AF34" s="26" t="s">
        <v>81</v>
      </c>
      <c r="AG34" s="26" t="s">
        <v>82</v>
      </c>
      <c r="AH34" s="26" t="s">
        <v>83</v>
      </c>
      <c r="AI34" s="26" t="s">
        <v>84</v>
      </c>
      <c r="AJ34" s="26" t="s">
        <v>85</v>
      </c>
      <c r="AK34" s="25"/>
      <c r="AL34" s="29" t="s">
        <v>86</v>
      </c>
      <c r="AM34" s="25"/>
      <c r="AN34" s="27" t="s">
        <v>87</v>
      </c>
      <c r="AO34" s="23" t="s">
        <v>88</v>
      </c>
      <c r="AP34" s="23" t="s">
        <v>89</v>
      </c>
      <c r="AQ34" s="23" t="s">
        <v>90</v>
      </c>
    </row>
    <row r="35" spans="2:45" x14ac:dyDescent="0.3">
      <c r="B35" s="32">
        <v>51</v>
      </c>
      <c r="C35" s="32">
        <v>3600</v>
      </c>
      <c r="D35">
        <f>B35+273</f>
        <v>324</v>
      </c>
      <c r="E35">
        <f>1/$E$29-LN($E$29)+($J$16*EXP($J$16/($D$14*$J$15))/(($D$14*$J$15^2)*(1-1.05*($J$17^1.26))))*'F(T,E)'!F15</f>
        <v>-3.2790813158202212</v>
      </c>
      <c r="F35" s="17">
        <f>1/$F$29-LN($F$29)+($K$16*EXP($K$16/($D$14*$K$15))/(($D$14*$K$15^2)*(1-1.05*($K$17^1.26))))*'F(T,E)'!G15</f>
        <v>-4.7784806976622018</v>
      </c>
      <c r="G35" s="17">
        <f>1/$G$29-LN($G$29)+($L$16*EXP($L$16/($D$14*$L$15))/(($D$14*$L$15^2)*(1-1.05*($L$17^1.26))))*'F(T,E)'!H15</f>
        <v>-3.0432006710882171</v>
      </c>
      <c r="H35" s="17">
        <f>1/$H$29-LN($H$29)+($M$16*EXP($M$16/($D$14*$M$15))/(($D$14*$M$15^2)*(1-1.05*($M$17^1.26))))*'F(T,E)'!I15</f>
        <v>-11.512905453083475</v>
      </c>
      <c r="I35" s="17">
        <f>1/$I$29-LN($I$29)+($N$16*EXP($N$16/($D$14*$N$15))/(($D$14*$N$15^2)*(1-1.05*($N$17^1.26))))*'F(T,E)'!J15</f>
        <v>-3.991205609230688</v>
      </c>
      <c r="J35" s="17">
        <f>1/$J$29-LN($J$29)+($O$16*EXP($O$16/($D$14*$O$15))/(($D$14*$O$15^2)*(1-1.05*($O$17^1.26))))*'F(T,E)'!K15</f>
        <v>-1.6534403035117198</v>
      </c>
      <c r="K35" s="17">
        <f>1/$K$29-LN($K$29)+($P$16*EXP($P$16/($D$14*$P$15))/(($D$14*$P$15^2)*(1-1.05*($P$17^1.26))))*'F(T,E)'!L15</f>
        <v>0.30244346506527436</v>
      </c>
      <c r="L35" s="17">
        <f>1/$L$29-LN($L$29)+($Q$16*EXP($Q$16/($D$14*$Q$15))/(($D$14*$Q$15^2)*(1-1.05*($Q$17^1.26))))*'F(T,E)'!M15</f>
        <v>-1.1827777265622506</v>
      </c>
      <c r="M35" s="17">
        <f>1/$M$29-LN($M$29)+($R$16*EXP($R$16/($D$14*$R$15))/(($D$14*$R$15^2)*(1-1.05*($R$17^1.26))))*'F(T,E)'!N15</f>
        <v>-4.1498715761076168</v>
      </c>
      <c r="N35" s="17">
        <f>1/$N$29-LN($N$29)+($S$16*EXP($S$16/($D$14*$S$15))/(($D$14*$S$15^2)*(1-1.05*($S$17^1.26))))*'F(T,E)'!O15</f>
        <v>-11.512905464820156</v>
      </c>
      <c r="O35" s="25"/>
      <c r="P35">
        <f t="shared" ref="P35:P98" si="5">lmb_2(E35)</f>
        <v>3.631948864641675E-2</v>
      </c>
      <c r="Q35" s="20">
        <f t="shared" ref="Q35:Q98" si="6">lmb_2(F35)</f>
        <v>8.3389361242620311E-3</v>
      </c>
      <c r="R35" s="20">
        <f t="shared" ref="R35:R98" si="7">lmb_2(G35)</f>
        <v>4.5558451784971525E-2</v>
      </c>
      <c r="S35" s="20">
        <f t="shared" ref="S35:S98" si="8">lmb_2(H35)</f>
        <v>1.0000100118367534E-5</v>
      </c>
      <c r="T35" s="20">
        <f t="shared" ref="T35:T98" si="9">lmb_2(I35)</f>
        <v>1.8145171606779475E-2</v>
      </c>
      <c r="U35" s="20">
        <f t="shared" ref="U35:U98" si="10">lmb_2(J35)</f>
        <v>0.16265899867702915</v>
      </c>
      <c r="V35" s="20">
        <f t="shared" ref="V35:V98" si="11">lmb_2(K35)</f>
        <v>0.68328568795616362</v>
      </c>
      <c r="W35" s="20">
        <f t="shared" ref="W35:W98" si="12">lmb_2(L35)</f>
        <v>0.24084091997427742</v>
      </c>
      <c r="X35" s="20">
        <f t="shared" ref="X35:X98" si="13">lmb_2(M35)</f>
        <v>1.5523579459119564E-2</v>
      </c>
      <c r="Y35" s="20">
        <f t="shared" ref="Y35:Y98" si="14">lmb_2(N35)</f>
        <v>1.0000100001000726E-5</v>
      </c>
      <c r="Z35" s="25"/>
      <c r="AA35">
        <f>($J$14*$D$13*($P$32+$P$32^2)/(P35+P35^2)*EXP($J$16*(D35-$J$15)/($D$14*$J$15*D35)))</f>
        <v>8688.3257476646486</v>
      </c>
      <c r="AB35" s="20">
        <f>($K$14*$D$13*($Q$32+$Q$32^2)/(Q35+Q35^2)*EXP($K$16*(D35-$K$15)/($D$14*$K$15*D35)))</f>
        <v>71.962157838898008</v>
      </c>
      <c r="AC35" s="20">
        <f>($L$14*$D$13*($R$32+$R$32^2)/(R35+R35^2)*EXP($L$16*(D35-$L$15)/($D$14*$L$15*D35)))</f>
        <v>1.0011751874499908</v>
      </c>
      <c r="AD35" s="20">
        <f>($M$14*$D$13*($S$32+$S$32^2)/(S35+S35^2)*EXP($M$16*(D35-$M$15)/($D$14*$M$15*D35)))</f>
        <v>4.6022337209392309E-3</v>
      </c>
      <c r="AE35" s="20">
        <f>($N$14*$D$13*($T$32+$T$32^2)/(T35+T35^2)*EXP($N$16*(D35-$N$15)/($D$14*$N$15*D35)))</f>
        <v>1.6062820396833184E-6</v>
      </c>
      <c r="AF35" s="20">
        <f>($O$14*$D$13*($U$32+$U$32^2)/(U35+U35^2)*EXP($O$16*(D35-$O$15)/($D$14*$O$15*D35)))</f>
        <v>3.1846908888830557E-7</v>
      </c>
      <c r="AG35" s="20">
        <f>($P$14*$D$13*($V$32+$V$32^2)/(V35+V35^2)*EXP($P$16*(D35-$P$15)/($D$14*$P$15*D35)))</f>
        <v>3.2044567724387084E-11</v>
      </c>
      <c r="AH35" s="20">
        <f>($Q$14*$D$13*($W$32+$W$32^2)/(W35+W35^2)*EXP($Q$16*(D35-$Q$15)/($D$14*$Q$15*D35)))</f>
        <v>7.5410318372533564E-14</v>
      </c>
      <c r="AI35" s="20">
        <f>($R$14*$D$13*($X$32+$X$32^2)/(X35+X35^2)*EXP($R$16*(D35-$R$15)/($D$14*$R$15*D35)))</f>
        <v>0</v>
      </c>
      <c r="AJ35" s="20">
        <v>50</v>
      </c>
      <c r="AK35" s="25"/>
      <c r="AL35">
        <f>SUM(AA35:AJ35)</f>
        <v>8811.293684849501</v>
      </c>
      <c r="AM35" s="25"/>
      <c r="AN35">
        <f>(AL35-C35)^2</f>
        <v>27157581.869752292</v>
      </c>
      <c r="AO35">
        <f>ABS(AL35-C35)</f>
        <v>5211.293684849501</v>
      </c>
      <c r="AP35">
        <f>SUM(AL35:AL384)</f>
        <v>7666097.5357108526</v>
      </c>
      <c r="AQ35">
        <f>AO35/$AP$35</f>
        <v>6.7978442233141692E-4</v>
      </c>
      <c r="AR35">
        <v>324</v>
      </c>
      <c r="AS35">
        <f>(C35-AL35)/C35*10</f>
        <v>-14.475815791248614</v>
      </c>
    </row>
    <row r="36" spans="2:45" x14ac:dyDescent="0.3">
      <c r="B36" s="32">
        <v>52</v>
      </c>
      <c r="C36" s="32">
        <v>6502</v>
      </c>
      <c r="D36" s="7">
        <f t="shared" ref="D36:D99" si="15">B36+273</f>
        <v>325</v>
      </c>
      <c r="E36" s="17">
        <f>1/$E$29-LN($E$29)+($J$16*EXP($J$16/($D$14*$J$15))/(($D$14*$J$15^2)*(1-1.05*($J$17^1.26))))*'F(T,E)'!F16</f>
        <v>-3.2538925430525953</v>
      </c>
      <c r="F36" s="17">
        <f>1/$F$29-LN($F$29)+($K$16*EXP($K$16/($D$14*$K$15))/(($D$14*$K$15^2)*(1-1.05*($K$17^1.26))))*'F(T,E)'!G16</f>
        <v>-4.7784373714300594</v>
      </c>
      <c r="G36" s="17">
        <f>1/$G$29-LN($G$29)+($L$16*EXP($L$16/($D$14*$L$15))/(($D$14*$L$15^2)*(1-1.05*($L$17^1.26))))*'F(T,E)'!H16</f>
        <v>-3.0432001110644076</v>
      </c>
      <c r="H36" s="17">
        <f>1/$H$29-LN($H$29)+($M$16*EXP($M$16/($D$14*$M$15))/(($D$14*$M$15^2)*(1-1.05*($M$17^1.26))))*'F(T,E)'!I16</f>
        <v>-11.512905450672957</v>
      </c>
      <c r="I36" s="17">
        <f>1/$I$29-LN($I$29)+($N$16*EXP($N$16/($D$14*$N$15))/(($D$14*$N$15^2)*(1-1.05*($N$17^1.26))))*'F(T,E)'!J16</f>
        <v>-3.9912056092303021</v>
      </c>
      <c r="J36" s="17">
        <f>1/$J$29-LN($J$29)+($O$16*EXP($O$16/($D$14*$O$15))/(($D$14*$O$15^2)*(1-1.05*($O$17^1.26))))*'F(T,E)'!K16</f>
        <v>-1.6534403035076133</v>
      </c>
      <c r="K36" s="17">
        <f>1/$K$29-LN($K$29)+($P$16*EXP($P$16/($D$14*$P$15))/(($D$14*$P$15^2)*(1-1.05*($P$17^1.26))))*'F(T,E)'!L16</f>
        <v>0.3024434650652747</v>
      </c>
      <c r="L36" s="17">
        <f>1/$L$29-LN($L$29)+($Q$16*EXP($Q$16/($D$14*$Q$15))/(($D$14*$Q$15^2)*(1-1.05*($Q$17^1.26))))*'F(T,E)'!M16</f>
        <v>-1.1827777265622506</v>
      </c>
      <c r="M36" s="17">
        <f>1/$M$29-LN($M$29)+($R$16*EXP($R$16/($D$14*$R$15))/(($D$14*$R$15^2)*(1-1.05*($R$17^1.26))))*'F(T,E)'!N16</f>
        <v>-3.8607154346327617</v>
      </c>
      <c r="N36" s="17">
        <f>1/$N$29-LN($N$29)+($S$16*EXP($S$16/($D$14*$S$15))/(($D$14*$S$15^2)*(1-1.05*($S$17^1.26))))*'F(T,E)'!O16</f>
        <v>-11.512905464820141</v>
      </c>
      <c r="O36" s="25"/>
      <c r="P36" s="20">
        <f t="shared" si="5"/>
        <v>3.7212697670251094E-2</v>
      </c>
      <c r="Q36" s="20">
        <f t="shared" si="6"/>
        <v>8.3392944386812724E-3</v>
      </c>
      <c r="R36" s="20">
        <f t="shared" si="7"/>
        <v>4.5558476187073794E-2</v>
      </c>
      <c r="S36" s="20">
        <f t="shared" si="8"/>
        <v>1.0000100142472713E-5</v>
      </c>
      <c r="T36" s="20">
        <f t="shared" si="9"/>
        <v>1.8145171606786355E-2</v>
      </c>
      <c r="U36" s="20">
        <f t="shared" si="10"/>
        <v>0.16265899867760367</v>
      </c>
      <c r="V36" s="20">
        <f t="shared" si="11"/>
        <v>0.68328568795616373</v>
      </c>
      <c r="W36" s="20">
        <f t="shared" si="12"/>
        <v>0.24084091997427742</v>
      </c>
      <c r="X36" s="20">
        <f t="shared" si="13"/>
        <v>2.0623199770947242E-2</v>
      </c>
      <c r="Y36" s="20">
        <f t="shared" si="14"/>
        <v>1.0000100001000869E-5</v>
      </c>
      <c r="Z36" s="25"/>
      <c r="AA36" s="20">
        <f t="shared" ref="AA36:AA99" si="16">($J$14*$D$13*($P$32+$P$32^2)/(P36+P36^2)*EXP($J$16*(D36-$J$15)/($D$14*$J$15*D36)))</f>
        <v>9430.4806527135679</v>
      </c>
      <c r="AB36" s="20">
        <f t="shared" ref="AB36:AB99" si="17">($K$14*$D$13*($Q$32+$Q$32^2)/(Q36+Q36^2)*EXP($K$16*(D36-$K$15)/($D$14*$K$15*D36)))</f>
        <v>82.654101437944163</v>
      </c>
      <c r="AC36" s="20">
        <f t="shared" ref="AC36:AC99" si="18">($L$14*$D$13*($R$32+$R$32^2)/(R36+R36^2)*EXP($L$16*(D36-$L$15)/($D$14*$L$15*D36)))</f>
        <v>1.1632907631487719</v>
      </c>
      <c r="AD36" s="20">
        <f t="shared" ref="AD36:AD99" si="19">($M$14*$D$13*($S$32+$S$32^2)/(S36+S36^2)*EXP($M$16*(D36-$M$15)/($D$14*$M$15*D36)))</f>
        <v>5.5139646393329925E-3</v>
      </c>
      <c r="AE36" s="20">
        <f t="shared" ref="AE36:AE99" si="20">($N$14*$D$13*($T$32+$T$32^2)/(T36+T36^2)*EXP($N$16*(D36-$N$15)/($D$14*$N$15*D36)))</f>
        <v>2.0470119909226024E-6</v>
      </c>
      <c r="AF36" s="20">
        <f t="shared" ref="AF36:AF99" si="21">($O$14*$D$13*($U$32+$U$32^2)/(U36+U36^2)*EXP($O$16*(D36-$O$15)/($D$14*$O$15*D36)))</f>
        <v>3.8556762095917849E-7</v>
      </c>
      <c r="AG36" s="20">
        <f t="shared" ref="AG36:AG99" si="22">($P$14*$D$13*($V$32+$V$32^2)/(V36+V36^2)*EXP($P$16*(D36-$P$15)/($D$14*$P$15*D36)))</f>
        <v>4.119340921860512E-11</v>
      </c>
      <c r="AH36" s="20">
        <f t="shared" ref="AH36:AH99" si="23">($Q$14*$D$13*($W$32+$W$32^2)/(W36+W36^2)*EXP($Q$16*(D36-$Q$15)/($D$14*$Q$15*D36)))</f>
        <v>9.8014514347007806E-14</v>
      </c>
      <c r="AI36" s="20">
        <f t="shared" ref="AI36:AI99" si="24">($R$14*$D$13*($X$32+$X$32^2)/(X36+X36^2)*EXP($R$16*(D36-$R$15)/($D$14*$R$15*D36)))</f>
        <v>0</v>
      </c>
      <c r="AJ36" s="20">
        <v>50</v>
      </c>
      <c r="AK36" s="25"/>
      <c r="AL36" s="20">
        <f t="shared" ref="AL36:AL99" si="25">SUM(AA36:AJ36)</f>
        <v>9564.3035613119209</v>
      </c>
      <c r="AM36" s="25"/>
      <c r="AN36" s="20">
        <f t="shared" ref="AN36:AN99" si="26">(AL36-C36)^2</f>
        <v>9377703.101623673</v>
      </c>
      <c r="AO36" s="20">
        <f t="shared" ref="AO36:AO99" si="27">ABS(AL36-C36)</f>
        <v>3062.3035613119209</v>
      </c>
      <c r="AQ36" s="20">
        <f t="shared" ref="AQ36:AQ99" si="28">AO36/$AP$35</f>
        <v>3.9946055304499378E-4</v>
      </c>
      <c r="AR36" s="20">
        <v>325</v>
      </c>
      <c r="AS36" s="20">
        <f t="shared" ref="AS36:AS99" si="29">(C36-AL36)/C36*10</f>
        <v>-4.7097870829159048</v>
      </c>
    </row>
    <row r="37" spans="2:45" x14ac:dyDescent="0.3">
      <c r="B37" s="32">
        <v>53</v>
      </c>
      <c r="C37" s="32">
        <v>9346</v>
      </c>
      <c r="D37" s="7">
        <f t="shared" si="15"/>
        <v>326</v>
      </c>
      <c r="E37" s="17">
        <f>1/$E$29-LN($E$29)+($J$16*EXP($J$16/($D$14*$J$15))/(($D$14*$J$15^2)*(1-1.05*($J$17^1.26))))*'F(T,E)'!F17</f>
        <v>-3.2258658740758697</v>
      </c>
      <c r="F37" s="17">
        <f>1/$F$29-LN($F$29)+($K$16*EXP($K$16/($D$14*$K$15))/(($D$14*$K$15^2)*(1-1.05*($K$17^1.26))))*'F(T,E)'!G17</f>
        <v>-4.7783876283287112</v>
      </c>
      <c r="G37" s="17">
        <f>1/$G$29-LN($G$29)+($L$16*EXP($L$16/($D$14*$L$15))/(($D$14*$L$15^2)*(1-1.05*($L$17^1.26))))*'F(T,E)'!H17</f>
        <v>-3.0431994606758197</v>
      </c>
      <c r="H37" s="17">
        <f>1/$H$29-LN($H$29)+($M$16*EXP($M$16/($D$14*$M$15))/(($D$14*$M$15^2)*(1-1.05*($M$17^1.26))))*'F(T,E)'!I17</f>
        <v>-11.512905447786581</v>
      </c>
      <c r="I37" s="17">
        <f>1/$I$29-LN($I$29)+($N$16*EXP($N$16/($D$14*$N$15))/(($D$14*$N$15^2)*(1-1.05*($N$17^1.26))))*'F(T,E)'!J17</f>
        <v>-3.9912056092298105</v>
      </c>
      <c r="J37" s="17">
        <f>1/$J$29-LN($J$29)+($O$16*EXP($O$16/($D$14*$O$15))/(($D$14*$O$15^2)*(1-1.05*($O$17^1.26))))*'F(T,E)'!K17</f>
        <v>-1.6534403035026448</v>
      </c>
      <c r="K37" s="17">
        <f>1/$K$29-LN($K$29)+($P$16*EXP($P$16/($D$14*$P$15))/(($D$14*$P$15^2)*(1-1.05*($P$17^1.26))))*'F(T,E)'!L17</f>
        <v>0.30244346506527514</v>
      </c>
      <c r="L37" s="17">
        <f>1/$L$29-LN($L$29)+($Q$16*EXP($Q$16/($D$14*$Q$15))/(($D$14*$Q$15^2)*(1-1.05*($Q$17^1.26))))*'F(T,E)'!M17</f>
        <v>-1.1827777265622506</v>
      </c>
      <c r="M37" s="17">
        <f>1/$M$29-LN($M$29)+($R$16*EXP($R$16/($D$14*$R$15))/(($D$14*$R$15^2)*(1-1.05*($R$17^1.26))))*'F(T,E)'!N17</f>
        <v>-3.5619712119436979</v>
      </c>
      <c r="N37" s="17">
        <f>1/$N$29-LN($N$29)+($S$16*EXP($S$16/($D$14*$S$15))/(($D$14*$S$15^2)*(1-1.05*($S$17^1.26))))*'F(T,E)'!O17</f>
        <v>-11.512905464820125</v>
      </c>
      <c r="O37" s="25"/>
      <c r="P37" s="20">
        <f t="shared" si="5"/>
        <v>3.8231430836570705E-2</v>
      </c>
      <c r="Q37" s="20">
        <f t="shared" si="6"/>
        <v>8.3397058403971575E-3</v>
      </c>
      <c r="R37" s="20">
        <f t="shared" si="7"/>
        <v>4.5558504526686056E-2</v>
      </c>
      <c r="S37" s="20">
        <f t="shared" si="8"/>
        <v>1.000010017133647E-5</v>
      </c>
      <c r="T37" s="20">
        <f t="shared" si="9"/>
        <v>1.8145171606795116E-2</v>
      </c>
      <c r="U37" s="20">
        <f t="shared" si="10"/>
        <v>0.16265899867829875</v>
      </c>
      <c r="V37" s="20">
        <f t="shared" si="11"/>
        <v>0.68328568795616396</v>
      </c>
      <c r="W37" s="20">
        <f t="shared" si="12"/>
        <v>0.24084091997427742</v>
      </c>
      <c r="X37" s="20">
        <f t="shared" si="13"/>
        <v>2.7609893631704473E-2</v>
      </c>
      <c r="Y37" s="20">
        <f t="shared" si="14"/>
        <v>1.0000100001001028E-5</v>
      </c>
      <c r="Z37" s="25"/>
      <c r="AA37" s="20">
        <f t="shared" si="16"/>
        <v>10200.371425279714</v>
      </c>
      <c r="AB37" s="20">
        <f t="shared" si="17"/>
        <v>94.853346341860245</v>
      </c>
      <c r="AC37" s="20">
        <f t="shared" si="18"/>
        <v>1.3504128898167473</v>
      </c>
      <c r="AD37" s="20">
        <f t="shared" si="19"/>
        <v>6.5989937439756398E-3</v>
      </c>
      <c r="AE37" s="20">
        <f t="shared" si="20"/>
        <v>2.6047915019771847E-6</v>
      </c>
      <c r="AF37" s="20">
        <f t="shared" si="21"/>
        <v>4.6625598494772604E-7</v>
      </c>
      <c r="AG37" s="20">
        <f t="shared" si="22"/>
        <v>5.2872749289783377E-11</v>
      </c>
      <c r="AH37" s="20">
        <f t="shared" si="23"/>
        <v>1.2718956592097277E-13</v>
      </c>
      <c r="AI37" s="20">
        <f t="shared" si="24"/>
        <v>0</v>
      </c>
      <c r="AJ37" s="20">
        <v>50</v>
      </c>
      <c r="AK37" s="25"/>
      <c r="AL37" s="20">
        <f t="shared" si="25"/>
        <v>10346.581786576236</v>
      </c>
      <c r="AM37" s="25"/>
      <c r="AN37" s="20">
        <f t="shared" si="26"/>
        <v>1001163.9116280932</v>
      </c>
      <c r="AO37" s="20">
        <f t="shared" si="27"/>
        <v>1000.5817865762365</v>
      </c>
      <c r="AQ37" s="20">
        <f t="shared" si="28"/>
        <v>1.3052035692413816E-4</v>
      </c>
      <c r="AR37" s="20">
        <v>326</v>
      </c>
      <c r="AS37" s="20">
        <f t="shared" si="29"/>
        <v>-1.0705989584594868</v>
      </c>
    </row>
    <row r="38" spans="2:45" x14ac:dyDescent="0.3">
      <c r="B38" s="32">
        <v>55</v>
      </c>
      <c r="C38" s="32">
        <v>11780</v>
      </c>
      <c r="D38" s="7">
        <f t="shared" si="15"/>
        <v>328</v>
      </c>
      <c r="E38" s="17">
        <f>1/$E$29-LN($E$29)+($J$16*EXP($J$16/($D$14*$J$15))/(($D$14*$J$15^2)*(1-1.05*($J$17^1.26))))*'F(T,E)'!F18</f>
        <v>-3.1600721129928973</v>
      </c>
      <c r="F38" s="17">
        <f>1/$F$29-LN($F$29)+($K$16*EXP($K$16/($D$14*$K$15))/(($D$14*$K$15^2)*(1-1.05*($K$17^1.26))))*'F(T,E)'!G18</f>
        <v>-4.7782651632758215</v>
      </c>
      <c r="G38" s="17">
        <f>1/$G$29-LN($G$29)+($L$16*EXP($L$16/($D$14*$L$15))/(($D$14*$L$15^2)*(1-1.05*($L$17^1.26))))*'F(T,E)'!H18</f>
        <v>-3.0431978312196537</v>
      </c>
      <c r="H38" s="17">
        <f>1/$H$29-LN($H$29)+($M$16*EXP($M$16/($D$14*$M$15))/(($D$14*$M$15^2)*(1-1.05*($M$17^1.26))))*'F(T,E)'!I18</f>
        <v>-11.512905440209414</v>
      </c>
      <c r="I38" s="17">
        <f>1/$I$29-LN($I$29)+($N$16*EXP($N$16/($D$14*$N$15))/(($D$14*$N$15^2)*(1-1.05*($N$17^1.26))))*'F(T,E)'!J18</f>
        <v>-3.9912056092283912</v>
      </c>
      <c r="J38" s="17">
        <f>1/$J$29-LN($J$29)+($O$16*EXP($O$16/($D$14*$O$15))/(($D$14*$O$15^2)*(1-1.05*($O$17^1.26))))*'F(T,E)'!K18</f>
        <v>-1.6534403034893919</v>
      </c>
      <c r="K38" s="17">
        <f>1/$K$29-LN($K$29)+($P$16*EXP($P$16/($D$14*$P$15))/(($D$14*$P$15^2)*(1-1.05*($P$17^1.26))))*'F(T,E)'!L18</f>
        <v>0.30244346506527636</v>
      </c>
      <c r="L38" s="17">
        <f>1/$L$29-LN($L$29)+($Q$16*EXP($Q$16/($D$14*$Q$15))/(($D$14*$Q$15^2)*(1-1.05*($Q$17^1.26))))*'F(T,E)'!M18</f>
        <v>-1.1827777265622506</v>
      </c>
      <c r="M38" s="17">
        <f>1/$M$29-LN($M$29)+($R$16*EXP($R$16/($D$14*$R$15))/(($D$14*$R$15^2)*(1-1.05*($R$17^1.26))))*'F(T,E)'!N18</f>
        <v>-2.9346925374267325</v>
      </c>
      <c r="N38" s="17">
        <f>1/$N$29-LN($N$29)+($S$16*EXP($S$16/($D$14*$S$15))/(($D$14*$S$15^2)*(1-1.05*($S$17^1.26))))*'F(T,E)'!O18</f>
        <v>-11.512905464820079</v>
      </c>
      <c r="O38" s="25"/>
      <c r="P38" s="20">
        <f t="shared" si="5"/>
        <v>4.0729539932658057E-2</v>
      </c>
      <c r="Q38" s="20">
        <f t="shared" si="6"/>
        <v>8.3407187768324721E-3</v>
      </c>
      <c r="R38" s="20">
        <f t="shared" si="7"/>
        <v>4.5558575527630631E-2</v>
      </c>
      <c r="S38" s="20">
        <f t="shared" si="8"/>
        <v>1.0000100247108145E-5</v>
      </c>
      <c r="T38" s="20">
        <f t="shared" si="9"/>
        <v>1.8145171606820411E-2</v>
      </c>
      <c r="U38" s="20">
        <f t="shared" si="10"/>
        <v>0.16265899868015288</v>
      </c>
      <c r="V38" s="20">
        <f t="shared" si="11"/>
        <v>0.6832856879561644</v>
      </c>
      <c r="W38" s="20">
        <f t="shared" si="12"/>
        <v>0.24084091997427742</v>
      </c>
      <c r="X38" s="20">
        <f t="shared" si="13"/>
        <v>5.0528341662385352E-2</v>
      </c>
      <c r="Y38" s="20">
        <f t="shared" si="14"/>
        <v>1.000010000100149E-5</v>
      </c>
      <c r="Z38" s="25"/>
      <c r="AA38" s="20">
        <f t="shared" si="16"/>
        <v>11795.417409812182</v>
      </c>
      <c r="AB38" s="20">
        <f t="shared" si="17"/>
        <v>124.6020225198573</v>
      </c>
      <c r="AC38" s="20">
        <f t="shared" si="18"/>
        <v>1.8148387691662637</v>
      </c>
      <c r="AD38" s="20">
        <f t="shared" si="19"/>
        <v>9.4205902639800335E-3</v>
      </c>
      <c r="AE38" s="20">
        <f t="shared" si="20"/>
        <v>4.199172825135518E-6</v>
      </c>
      <c r="AF38" s="20">
        <f t="shared" si="21"/>
        <v>6.7945791831805054E-7</v>
      </c>
      <c r="AG38" s="20">
        <f t="shared" si="22"/>
        <v>8.6707607962671555E-11</v>
      </c>
      <c r="AH38" s="20">
        <f t="shared" si="23"/>
        <v>2.1315898849086293E-13</v>
      </c>
      <c r="AI38" s="20">
        <f t="shared" si="24"/>
        <v>0</v>
      </c>
      <c r="AJ38" s="20">
        <v>50</v>
      </c>
      <c r="AK38" s="25"/>
      <c r="AL38" s="20">
        <f t="shared" si="25"/>
        <v>11971.843696570188</v>
      </c>
      <c r="AM38" s="25"/>
      <c r="AN38" s="20">
        <f t="shared" si="26"/>
        <v>36804.003913714208</v>
      </c>
      <c r="AO38" s="20">
        <f t="shared" si="27"/>
        <v>191.8436965701876</v>
      </c>
      <c r="AQ38" s="20">
        <f t="shared" si="28"/>
        <v>2.5024948570837424E-5</v>
      </c>
      <c r="AR38" s="20">
        <v>328</v>
      </c>
      <c r="AS38" s="20">
        <f t="shared" si="29"/>
        <v>-0.16285543002562616</v>
      </c>
    </row>
    <row r="39" spans="2:45" x14ac:dyDescent="0.3">
      <c r="B39" s="32">
        <v>57</v>
      </c>
      <c r="C39" s="32">
        <v>13538</v>
      </c>
      <c r="D39" s="7">
        <f t="shared" si="15"/>
        <v>330</v>
      </c>
      <c r="E39" s="17">
        <f>1/$E$29-LN($E$29)+($J$16*EXP($J$16/($D$14*$J$15))/(($D$14*$J$15^2)*(1-1.05*($J$17^1.26))))*'F(T,E)'!F19</f>
        <v>-3.0789365447501775</v>
      </c>
      <c r="F39" s="17">
        <f>1/$F$29-LN($F$29)+($K$16*EXP($K$16/($D$14*$K$15))/(($D$14*$K$15^2)*(1-1.05*($K$17^1.26))))*'F(T,E)'!G19</f>
        <v>-4.7781045547004934</v>
      </c>
      <c r="G39" s="17">
        <f>1/$G$29-LN($G$29)+($L$16*EXP($L$16/($D$14*$L$15))/(($D$14*$L$15^2)*(1-1.05*($L$17^1.26))))*'F(T,E)'!H19</f>
        <v>-3.0431956455590679</v>
      </c>
      <c r="H39" s="17">
        <f>1/$H$29-LN($H$29)+($M$16*EXP($M$16/($D$14*$M$15))/(($D$14*$M$15^2)*(1-1.05*($M$17^1.26))))*'F(T,E)'!I19</f>
        <v>-11.512905429417389</v>
      </c>
      <c r="I39" s="17">
        <f>1/$I$29-LN($I$29)+($N$16*EXP($N$16/($D$14*$N$15))/(($D$14*$N$15^2)*(1-1.05*($N$17^1.26))))*'F(T,E)'!J19</f>
        <v>-3.9912056092261108</v>
      </c>
      <c r="J39" s="17">
        <f>1/$J$29-LN($J$29)+($O$16*EXP($O$16/($D$14*$O$15))/(($D$14*$O$15^2)*(1-1.05*($O$17^1.26))))*'F(T,E)'!K19</f>
        <v>-1.6534403034701262</v>
      </c>
      <c r="K39" s="17">
        <f>1/$K$29-LN($K$29)+($P$16*EXP($P$16/($D$14*$P$15))/(($D$14*$P$15^2)*(1-1.05*($P$17^1.26))))*'F(T,E)'!L19</f>
        <v>0.30244346506527842</v>
      </c>
      <c r="L39" s="17">
        <f>1/$L$29-LN($L$29)+($Q$16*EXP($Q$16/($D$14*$Q$15))/(($D$14*$Q$15^2)*(1-1.05*($Q$17^1.26))))*'F(T,E)'!M19</f>
        <v>-1.1827777265622506</v>
      </c>
      <c r="M39" s="17">
        <f>1/$M$29-LN($M$29)+($R$16*EXP($R$16/($D$14*$R$15))/(($D$14*$R$15^2)*(1-1.05*($R$17^1.26))))*'F(T,E)'!N19</f>
        <v>-2.2659339070860582</v>
      </c>
      <c r="N39" s="17">
        <f>1/$N$29-LN($N$29)+($S$16*EXP($S$16/($D$14*$S$15))/(($D$14*$S$15^2)*(1-1.05*($S$17^1.26))))*'F(T,E)'!O19</f>
        <v>-11.512905464820015</v>
      </c>
      <c r="O39" s="25"/>
      <c r="P39" s="20">
        <f t="shared" si="5"/>
        <v>4.4026521459421028E-2</v>
      </c>
      <c r="Q39" s="20">
        <f t="shared" si="6"/>
        <v>8.3420473919950736E-3</v>
      </c>
      <c r="R39" s="20">
        <f t="shared" si="7"/>
        <v>4.5558670764458825E-2</v>
      </c>
      <c r="S39" s="20">
        <f t="shared" si="8"/>
        <v>1.0000100355028399E-5</v>
      </c>
      <c r="T39" s="20">
        <f t="shared" si="9"/>
        <v>1.8145171606861049E-2</v>
      </c>
      <c r="U39" s="20">
        <f t="shared" si="10"/>
        <v>0.16265899868284819</v>
      </c>
      <c r="V39" s="20">
        <f t="shared" si="11"/>
        <v>0.68328568795616529</v>
      </c>
      <c r="W39" s="20">
        <f t="shared" si="12"/>
        <v>0.24084091997427742</v>
      </c>
      <c r="X39" s="20">
        <f t="shared" si="13"/>
        <v>9.4389675407654902E-2</v>
      </c>
      <c r="Y39" s="20">
        <f t="shared" si="14"/>
        <v>1.0000100001002129E-5</v>
      </c>
      <c r="Z39" s="25"/>
      <c r="AA39" s="20">
        <f t="shared" si="16"/>
        <v>13398.436402718216</v>
      </c>
      <c r="AB39" s="20">
        <f t="shared" si="17"/>
        <v>163.13392596666841</v>
      </c>
      <c r="AC39" s="20">
        <f t="shared" si="18"/>
        <v>2.430262884249232</v>
      </c>
      <c r="AD39" s="20">
        <f t="shared" si="19"/>
        <v>1.3390739701027256E-2</v>
      </c>
      <c r="AE39" s="20">
        <f t="shared" si="20"/>
        <v>6.7303973431184908E-6</v>
      </c>
      <c r="AF39" s="20">
        <f t="shared" si="21"/>
        <v>9.8564024581147272E-7</v>
      </c>
      <c r="AG39" s="20">
        <f t="shared" si="22"/>
        <v>1.4134438936897732E-10</v>
      </c>
      <c r="AH39" s="20">
        <f t="shared" si="23"/>
        <v>3.5500756539898469E-13</v>
      </c>
      <c r="AI39" s="20">
        <f t="shared" si="24"/>
        <v>0</v>
      </c>
      <c r="AJ39" s="20">
        <v>50</v>
      </c>
      <c r="AK39" s="25"/>
      <c r="AL39" s="20">
        <f t="shared" si="25"/>
        <v>13614.013990025014</v>
      </c>
      <c r="AM39" s="25"/>
      <c r="AN39" s="20">
        <f t="shared" si="26"/>
        <v>5778.1266795229594</v>
      </c>
      <c r="AO39" s="20">
        <f t="shared" si="27"/>
        <v>76.013990025014209</v>
      </c>
      <c r="AQ39" s="20">
        <f t="shared" si="28"/>
        <v>9.9156043437902425E-6</v>
      </c>
      <c r="AR39" s="20">
        <v>330</v>
      </c>
      <c r="AS39" s="20">
        <f t="shared" si="29"/>
        <v>-5.6148611334771906E-2</v>
      </c>
    </row>
    <row r="40" spans="2:45" x14ac:dyDescent="0.3">
      <c r="B40" s="32">
        <v>58</v>
      </c>
      <c r="C40" s="32">
        <v>14804</v>
      </c>
      <c r="D40" s="7">
        <f t="shared" si="15"/>
        <v>331</v>
      </c>
      <c r="E40" s="17">
        <f>1/$E$29-LN($E$29)+($J$16*EXP($J$16/($D$14*$J$15))/(($D$14*$J$15^2)*(1-1.05*($J$17^1.26))))*'F(T,E)'!F20</f>
        <v>-3.0316013929318655</v>
      </c>
      <c r="F40" s="17">
        <f>1/$F$29-LN($F$29)+($K$16*EXP($K$16/($D$14*$K$15))/(($D$14*$K$15^2)*(1-1.05*($K$17^1.26))))*'F(T,E)'!G20</f>
        <v>-4.7780065611840046</v>
      </c>
      <c r="G40" s="17">
        <f>1/$G$29-LN($G$29)+($L$16*EXP($L$16/($D$14*$L$15))/(($D$14*$L$15^2)*(1-1.05*($L$17^1.26))))*'F(T,E)'!H20</f>
        <v>-3.0431942900337723</v>
      </c>
      <c r="H40" s="17">
        <f>1/$H$29-LN($H$29)+($M$16*EXP($M$16/($D$14*$M$15))/(($D$14*$M$15^2)*(1-1.05*($M$17^1.26))))*'F(T,E)'!I20</f>
        <v>-11.512905422427631</v>
      </c>
      <c r="I40" s="17">
        <f>1/$I$29-LN($I$29)+($N$16*EXP($N$16/($D$14*$N$15))/(($D$14*$N$15^2)*(1-1.05*($N$17^1.26))))*'F(T,E)'!J20</f>
        <v>-3.9912056092245005</v>
      </c>
      <c r="J40" s="17">
        <f>1/$J$29-LN($J$29)+($O$16*EXP($O$16/($D$14*$O$15))/(($D$14*$O$15^2)*(1-1.05*($O$17^1.26))))*'F(T,E)'!K20</f>
        <v>-1.653440303457463</v>
      </c>
      <c r="K40" s="17">
        <f>1/$K$29-LN($K$29)+($P$16*EXP($P$16/($D$14*$P$15))/(($D$14*$P$15^2)*(1-1.05*($P$17^1.26))))*'F(T,E)'!L20</f>
        <v>0.30244346506527986</v>
      </c>
      <c r="L40" s="17">
        <f>1/$L$29-LN($L$29)+($Q$16*EXP($Q$16/($D$14*$Q$15))/(($D$14*$Q$15^2)*(1-1.05*($Q$17^1.26))))*'F(T,E)'!M20</f>
        <v>-1.1827777265622506</v>
      </c>
      <c r="M40" s="17">
        <f>1/$M$29-LN($M$29)+($R$16*EXP($R$16/($D$14*$R$15))/(($D$14*$R$15^2)*(1-1.05*($R$17^1.26))))*'F(T,E)'!N20</f>
        <v>-1.9153208434644622</v>
      </c>
      <c r="N40" s="17">
        <f>1/$N$29-LN($N$29)+($S$16*EXP($S$16/($D$14*$S$15))/(($D$14*$S$15^2)*(1-1.05*($S$17^1.26))))*'F(T,E)'!O20</f>
        <v>-11.512905464819974</v>
      </c>
      <c r="O40" s="25"/>
      <c r="P40" s="20">
        <f t="shared" si="5"/>
        <v>4.606656083109608E-2</v>
      </c>
      <c r="Q40" s="20">
        <f t="shared" si="6"/>
        <v>8.342858134694188E-3</v>
      </c>
      <c r="R40" s="20">
        <f t="shared" si="7"/>
        <v>4.5558729829502875E-2</v>
      </c>
      <c r="S40" s="20">
        <f t="shared" si="8"/>
        <v>1.0000100424925983E-5</v>
      </c>
      <c r="T40" s="20">
        <f t="shared" si="9"/>
        <v>1.8145171606889748E-2</v>
      </c>
      <c r="U40" s="20">
        <f t="shared" si="10"/>
        <v>0.1626589986846198</v>
      </c>
      <c r="V40" s="20">
        <f t="shared" si="11"/>
        <v>0.68328568795616595</v>
      </c>
      <c r="W40" s="20">
        <f t="shared" si="12"/>
        <v>0.24084091997427742</v>
      </c>
      <c r="X40" s="20">
        <f t="shared" si="13"/>
        <v>0.12941444317560793</v>
      </c>
      <c r="Y40" s="20">
        <f t="shared" si="14"/>
        <v>1.0000100001002537E-5</v>
      </c>
      <c r="Z40" s="25"/>
      <c r="AA40" s="20">
        <f t="shared" si="16"/>
        <v>14170.473648951389</v>
      </c>
      <c r="AB40" s="20">
        <f t="shared" si="17"/>
        <v>186.42990993530495</v>
      </c>
      <c r="AC40" s="20">
        <f t="shared" si="18"/>
        <v>2.8085751429480146</v>
      </c>
      <c r="AD40" s="20">
        <f t="shared" si="19"/>
        <v>1.5939536181171318E-2</v>
      </c>
      <c r="AE40" s="20">
        <f t="shared" si="20"/>
        <v>8.5025801918819861E-6</v>
      </c>
      <c r="AF40" s="20">
        <f t="shared" si="21"/>
        <v>1.1851252034960944E-6</v>
      </c>
      <c r="AG40" s="20">
        <f t="shared" si="22"/>
        <v>1.8006426391528311E-10</v>
      </c>
      <c r="AH40" s="20">
        <f t="shared" si="23"/>
        <v>4.5708888070307568E-13</v>
      </c>
      <c r="AI40" s="20">
        <f t="shared" si="24"/>
        <v>0</v>
      </c>
      <c r="AJ40" s="20">
        <v>50</v>
      </c>
      <c r="AK40" s="25"/>
      <c r="AL40" s="20">
        <f t="shared" si="25"/>
        <v>14409.728083253707</v>
      </c>
      <c r="AM40" s="25"/>
      <c r="AN40" s="20">
        <f t="shared" si="26"/>
        <v>155450.34433479566</v>
      </c>
      <c r="AO40" s="20">
        <f t="shared" si="27"/>
        <v>394.27191674629285</v>
      </c>
      <c r="AQ40" s="20">
        <f t="shared" si="28"/>
        <v>5.143058967221101E-5</v>
      </c>
      <c r="AR40" s="20">
        <v>331</v>
      </c>
      <c r="AS40" s="20">
        <f t="shared" si="29"/>
        <v>0.266327963216896</v>
      </c>
    </row>
    <row r="41" spans="2:45" x14ac:dyDescent="0.3">
      <c r="B41" s="32">
        <v>60</v>
      </c>
      <c r="C41" s="32">
        <v>15834</v>
      </c>
      <c r="D41" s="7">
        <f t="shared" si="15"/>
        <v>333</v>
      </c>
      <c r="E41" s="17">
        <f>1/$E$29-LN($E$29)+($J$16*EXP($J$16/($D$14*$J$15))/(($D$14*$J$15^2)*(1-1.05*($J$17^1.26))))*'F(T,E)'!F21</f>
        <v>-2.9210168277609148</v>
      </c>
      <c r="F41" s="17">
        <f>1/$F$29-LN($F$29)+($K$16*EXP($K$16/($D$14*$K$15))/(($D$14*$K$15^2)*(1-1.05*($K$17^1.26))))*'F(T,E)'!G21</f>
        <v>-4.7777668193070424</v>
      </c>
      <c r="G41" s="17">
        <f>1/$G$29-LN($G$29)+($L$16*EXP($L$16/($D$14*$L$15))/(($D$14*$L$15^2)*(1-1.05*($L$17^1.26))))*'F(T,E)'!H21</f>
        <v>-3.0431909170646176</v>
      </c>
      <c r="H41" s="17">
        <f>1/$H$29-LN($H$29)+($M$16*EXP($M$16/($D$14*$M$15))/(($D$14*$M$15^2)*(1-1.05*($M$17^1.26))))*'F(T,E)'!I21</f>
        <v>-11.512905404229425</v>
      </c>
      <c r="I41" s="17">
        <f>1/$I$29-LN($I$29)+($N$16*EXP($N$16/($D$14*$N$15))/(($D$14*$N$15^2)*(1-1.05*($N$17^1.26))))*'F(T,E)'!J21</f>
        <v>-3.9912056092199042</v>
      </c>
      <c r="J41" s="17">
        <f>1/$J$29-LN($J$29)+($O$16*EXP($O$16/($D$14*$O$15))/(($D$14*$O$15^2)*(1-1.05*($O$17^1.26))))*'F(T,E)'!K21</f>
        <v>-1.6534403034239797</v>
      </c>
      <c r="K41" s="17">
        <f>1/$K$29-LN($K$29)+($P$16*EXP($P$16/($D$14*$P$15))/(($D$14*$P$15^2)*(1-1.05*($P$17^1.26))))*'F(T,E)'!L21</f>
        <v>0.30244346506528408</v>
      </c>
      <c r="L41" s="17">
        <f>1/$L$29-LN($L$29)+($Q$16*EXP($Q$16/($D$14*$Q$15))/(($D$14*$Q$15^2)*(1-1.05*($Q$17^1.26))))*'F(T,E)'!M21</f>
        <v>-1.1827777265622506</v>
      </c>
      <c r="M41" s="17">
        <f>1/$M$29-LN($M$29)+($R$16*EXP($R$16/($D$14*$R$15))/(($D$14*$R$15^2)*(1-1.05*($R$17^1.26))))*'F(T,E)'!N21</f>
        <v>-1.1802248888722549</v>
      </c>
      <c r="N41" s="17">
        <f>1/$N$29-LN($N$29)+($S$16*EXP($S$16/($D$14*$S$15))/(($D$14*$S$15^2)*(1-1.05*($S$17^1.26))))*'F(T,E)'!O21</f>
        <v>-11.512905464819866</v>
      </c>
      <c r="O41" s="25"/>
      <c r="P41" s="20">
        <f t="shared" si="5"/>
        <v>5.1190207000066219E-2</v>
      </c>
      <c r="Q41" s="20">
        <f t="shared" si="6"/>
        <v>8.3448419522789176E-3</v>
      </c>
      <c r="R41" s="20">
        <f t="shared" si="7"/>
        <v>4.5558876802047905E-2</v>
      </c>
      <c r="S41" s="20">
        <f t="shared" si="8"/>
        <v>1.0000100606908051E-5</v>
      </c>
      <c r="T41" s="20">
        <f t="shared" si="9"/>
        <v>1.8145171606971666E-2</v>
      </c>
      <c r="U41" s="20">
        <f t="shared" si="10"/>
        <v>0.1626589986893042</v>
      </c>
      <c r="V41" s="20">
        <f t="shared" si="11"/>
        <v>0.68328568795616751</v>
      </c>
      <c r="W41" s="20">
        <f t="shared" si="12"/>
        <v>0.24084091997427742</v>
      </c>
      <c r="X41" s="20">
        <f t="shared" si="13"/>
        <v>0.24133682369058199</v>
      </c>
      <c r="Y41" s="20">
        <f t="shared" si="14"/>
        <v>1.0000100001003622E-5</v>
      </c>
      <c r="Z41" s="25"/>
      <c r="AA41" s="20">
        <f t="shared" si="16"/>
        <v>15572.276017532537</v>
      </c>
      <c r="AB41" s="20">
        <f t="shared" si="17"/>
        <v>242.88119857417774</v>
      </c>
      <c r="AC41" s="20">
        <f t="shared" si="18"/>
        <v>3.7412714093307744</v>
      </c>
      <c r="AD41" s="20">
        <f t="shared" si="19"/>
        <v>2.2514093132366891E-2</v>
      </c>
      <c r="AE41" s="20">
        <f t="shared" si="20"/>
        <v>1.3512689312609622E-5</v>
      </c>
      <c r="AF41" s="20">
        <f t="shared" si="21"/>
        <v>1.7077078664412469E-6</v>
      </c>
      <c r="AG41" s="20">
        <f t="shared" si="22"/>
        <v>2.9095837755122012E-10</v>
      </c>
      <c r="AH41" s="20">
        <f t="shared" si="23"/>
        <v>7.5430856818814719E-13</v>
      </c>
      <c r="AI41" s="20">
        <f t="shared" si="24"/>
        <v>0</v>
      </c>
      <c r="AJ41" s="20">
        <v>50</v>
      </c>
      <c r="AK41" s="25"/>
      <c r="AL41" s="20">
        <f t="shared" si="25"/>
        <v>15868.921016829867</v>
      </c>
      <c r="AM41" s="25"/>
      <c r="AN41" s="20">
        <f t="shared" si="26"/>
        <v>1219.4774164318444</v>
      </c>
      <c r="AO41" s="20">
        <f t="shared" si="27"/>
        <v>34.921016829866858</v>
      </c>
      <c r="AQ41" s="20">
        <f t="shared" si="28"/>
        <v>4.5552533955111936E-6</v>
      </c>
      <c r="AR41" s="20">
        <v>333</v>
      </c>
      <c r="AS41" s="20">
        <f t="shared" si="29"/>
        <v>-2.2054450442002563E-2</v>
      </c>
    </row>
    <row r="42" spans="2:45" x14ac:dyDescent="0.3">
      <c r="B42" s="32">
        <v>61</v>
      </c>
      <c r="C42" s="32">
        <v>16692</v>
      </c>
      <c r="D42" s="7">
        <f t="shared" si="15"/>
        <v>334</v>
      </c>
      <c r="E42" s="17">
        <f>1/$E$29-LN($E$29)+($J$16*EXP($J$16/($D$14*$J$15))/(($D$14*$J$15^2)*(1-1.05*($J$17^1.26))))*'F(T,E)'!F22</f>
        <v>-2.8566778811821005</v>
      </c>
      <c r="F42" s="17">
        <f>1/$F$29-LN($F$29)+($K$16*EXP($K$16/($D$14*$K$15))/(($D$14*$K$15^2)*(1-1.05*($K$17^1.26))))*'F(T,E)'!G22</f>
        <v>-4.7776210596279034</v>
      </c>
      <c r="G42" s="17">
        <f>1/$G$29-LN($G$29)+($L$16*EXP($L$16/($D$14*$L$15))/(($D$14*$L$15^2)*(1-1.05*($L$17^1.26))))*'F(T,E)'!H22</f>
        <v>-3.0431888331600194</v>
      </c>
      <c r="H42" s="17">
        <f>1/$H$29-LN($H$29)+($M$16*EXP($M$16/($D$14*$M$15))/(($D$14*$M$15^2)*(1-1.05*($M$17^1.26))))*'F(T,E)'!I22</f>
        <v>-11.512905392496682</v>
      </c>
      <c r="I42" s="17">
        <f>1/$I$29-LN($I$29)+($N$16*EXP($N$16/($D$14*$N$15))/(($D$14*$N$15^2)*(1-1.05*($N$17^1.26))))*'F(T,E)'!J22</f>
        <v>-3.9912056092166779</v>
      </c>
      <c r="J42" s="17">
        <f>1/$J$29-LN($J$29)+($O$16*EXP($O$16/($D$14*$O$15))/(($D$14*$O$15^2)*(1-1.05*($O$17^1.26))))*'F(T,E)'!K22</f>
        <v>-1.6534403034020777</v>
      </c>
      <c r="K42" s="17">
        <f>1/$K$29-LN($K$29)+($P$16*EXP($P$16/($D$14*$P$15))/(($D$14*$P$15^2)*(1-1.05*($P$17^1.26))))*'F(T,E)'!L22</f>
        <v>0.30244346506528702</v>
      </c>
      <c r="L42" s="17">
        <f>1/$L$29-LN($L$29)+($Q$16*EXP($Q$16/($D$14*$Q$15))/(($D$14*$Q$15^2)*(1-1.05*($Q$17^1.26))))*'F(T,E)'!M22</f>
        <v>-1.1827777265622506</v>
      </c>
      <c r="M42" s="17">
        <f>1/$M$29-LN($M$29)+($R$16*EXP($R$16/($D$14*$R$15))/(($D$14*$R$15^2)*(1-1.05*($R$17^1.26))))*'F(T,E)'!N22</f>
        <v>-0.79516546450009074</v>
      </c>
      <c r="N42" s="17">
        <f>1/$N$29-LN($N$29)+($S$16*EXP($S$16/($D$14*$S$15))/(($D$14*$S$15^2)*(1-1.05*($S$17^1.26))))*'F(T,E)'!O22</f>
        <v>-11.512905464819795</v>
      </c>
      <c r="O42" s="25"/>
      <c r="P42" s="20">
        <f t="shared" si="5"/>
        <v>5.4416163572701022E-2</v>
      </c>
      <c r="Q42" s="20">
        <f t="shared" si="6"/>
        <v>8.3460483140556808E-3</v>
      </c>
      <c r="R42" s="20">
        <f t="shared" si="7"/>
        <v>4.555896760558413E-2</v>
      </c>
      <c r="S42" s="20">
        <f t="shared" si="8"/>
        <v>1.0000100724235483E-5</v>
      </c>
      <c r="T42" s="20">
        <f t="shared" si="9"/>
        <v>1.8145171607029158E-2</v>
      </c>
      <c r="U42" s="20">
        <f t="shared" si="10"/>
        <v>0.16265899869236836</v>
      </c>
      <c r="V42" s="20">
        <f t="shared" si="11"/>
        <v>0.68328568795616873</v>
      </c>
      <c r="W42" s="20">
        <f t="shared" si="12"/>
        <v>0.24084091997427742</v>
      </c>
      <c r="X42" s="20">
        <f t="shared" si="13"/>
        <v>0.32592439062218764</v>
      </c>
      <c r="Y42" s="20">
        <f t="shared" si="14"/>
        <v>1.0000100001004331E-5</v>
      </c>
      <c r="Z42" s="25"/>
      <c r="AA42" s="20">
        <f t="shared" si="16"/>
        <v>16163.168633611291</v>
      </c>
      <c r="AB42" s="20">
        <f t="shared" si="17"/>
        <v>276.88882001357058</v>
      </c>
      <c r="AC42" s="20">
        <f t="shared" si="18"/>
        <v>4.3124725053139237</v>
      </c>
      <c r="AD42" s="20">
        <f t="shared" si="19"/>
        <v>2.6715929509855494E-2</v>
      </c>
      <c r="AE42" s="20">
        <f t="shared" si="20"/>
        <v>1.6999406777787402E-5</v>
      </c>
      <c r="AF42" s="20">
        <f t="shared" si="21"/>
        <v>2.0465659975991659E-6</v>
      </c>
      <c r="AG42" s="20">
        <f t="shared" si="22"/>
        <v>3.6905967194409927E-10</v>
      </c>
      <c r="AH42" s="20">
        <f t="shared" si="23"/>
        <v>9.6682132128436918E-13</v>
      </c>
      <c r="AI42" s="20">
        <f t="shared" si="24"/>
        <v>0</v>
      </c>
      <c r="AJ42" s="20">
        <v>50</v>
      </c>
      <c r="AK42" s="25"/>
      <c r="AL42" s="20">
        <f t="shared" si="25"/>
        <v>16494.396661106024</v>
      </c>
      <c r="AM42" s="25"/>
      <c r="AN42" s="20">
        <f t="shared" si="26"/>
        <v>39047.079542047482</v>
      </c>
      <c r="AO42" s="20">
        <f t="shared" si="27"/>
        <v>197.60333889397589</v>
      </c>
      <c r="AQ42" s="20">
        <f t="shared" si="28"/>
        <v>2.5776262038603552E-5</v>
      </c>
      <c r="AR42" s="20">
        <v>334</v>
      </c>
      <c r="AS42" s="20">
        <f t="shared" si="29"/>
        <v>0.11838206260123166</v>
      </c>
    </row>
    <row r="43" spans="2:45" x14ac:dyDescent="0.3">
      <c r="B43" s="32">
        <v>62</v>
      </c>
      <c r="C43" s="32">
        <v>17329</v>
      </c>
      <c r="D43" s="7">
        <f t="shared" si="15"/>
        <v>335</v>
      </c>
      <c r="E43" s="17">
        <f>1/$E$29-LN($E$29)+($J$16*EXP($J$16/($D$14*$J$15))/(($D$14*$J$15^2)*(1-1.05*($J$17^1.26))))*'F(T,E)'!F23</f>
        <v>-2.7854955028382147</v>
      </c>
      <c r="F43" s="17">
        <f>1/$F$29-LN($F$29)+($K$16*EXP($K$16/($D$14*$K$15))/(($D$14*$K$15^2)*(1-1.05*($K$17^1.26))))*'F(T,E)'!G23</f>
        <v>-4.7774549365425063</v>
      </c>
      <c r="G43" s="17">
        <f>1/$G$29-LN($G$29)+($L$16*EXP($L$16/($D$14*$L$15))/(($D$14*$L$15^2)*(1-1.05*($L$17^1.26))))*'F(T,E)'!H23</f>
        <v>-3.0431864321717081</v>
      </c>
      <c r="H43" s="17">
        <f>1/$H$29-LN($H$29)+($M$16*EXP($M$16/($D$14*$M$15))/(($D$14*$M$15^2)*(1-1.05*($M$17^1.26))))*'F(T,E)'!I23</f>
        <v>-11.512905378581719</v>
      </c>
      <c r="I43" s="17">
        <f>1/$I$29-LN($I$29)+($N$16*EXP($N$16/($D$14*$N$15))/(($D$14*$N$15^2)*(1-1.05*($N$17^1.26))))*'F(T,E)'!J23</f>
        <v>-3.9912056092126216</v>
      </c>
      <c r="J43" s="17">
        <f>1/$J$29-LN($J$29)+($O$16*EXP($O$16/($D$14*$O$15))/(($D$14*$O$15^2)*(1-1.05*($O$17^1.26))))*'F(T,E)'!K23</f>
        <v>-1.6534403033758447</v>
      </c>
      <c r="K43" s="17">
        <f>1/$K$29-LN($K$29)+($P$16*EXP($P$16/($D$14*$P$15))/(($D$14*$P$15^2)*(1-1.05*($P$17^1.26))))*'F(T,E)'!L23</f>
        <v>0.3024434650652908</v>
      </c>
      <c r="L43" s="17">
        <f>1/$L$29-LN($L$29)+($Q$16*EXP($Q$16/($D$14*$Q$15))/(($D$14*$Q$15^2)*(1-1.05*($Q$17^1.26))))*'F(T,E)'!M23</f>
        <v>-1.1827777265622506</v>
      </c>
      <c r="M43" s="17">
        <f>1/$M$29-LN($M$29)+($R$16*EXP($R$16/($D$14*$R$15))/(($D$14*$R$15^2)*(1-1.05*($R$17^1.26))))*'F(T,E)'!N23</f>
        <v>-0.39803860303558913</v>
      </c>
      <c r="N43" s="17">
        <f>1/$N$29-LN($N$29)+($S$16*EXP($S$16/($D$14*$S$15))/(($D$14*$S$15^2)*(1-1.05*($S$17^1.26))))*'F(T,E)'!O23</f>
        <v>-11.512905464819712</v>
      </c>
      <c r="O43" s="25"/>
      <c r="P43" s="20">
        <f t="shared" si="5"/>
        <v>5.8209593759683188E-2</v>
      </c>
      <c r="Q43" s="20">
        <f t="shared" si="6"/>
        <v>8.3474234219059404E-3</v>
      </c>
      <c r="R43" s="20">
        <f t="shared" si="7"/>
        <v>4.5559072225861141E-2</v>
      </c>
      <c r="S43" s="20">
        <f t="shared" si="8"/>
        <v>1.0000100863385131E-5</v>
      </c>
      <c r="T43" s="20">
        <f t="shared" si="9"/>
        <v>1.8145171607101454E-2</v>
      </c>
      <c r="U43" s="20">
        <f t="shared" si="10"/>
        <v>0.16265899869603842</v>
      </c>
      <c r="V43" s="20">
        <f t="shared" si="11"/>
        <v>0.68328568795617028</v>
      </c>
      <c r="W43" s="20">
        <f t="shared" si="12"/>
        <v>0.24084091997427742</v>
      </c>
      <c r="X43" s="20">
        <f t="shared" si="13"/>
        <v>0.43480924902321616</v>
      </c>
      <c r="Y43" s="20">
        <f t="shared" si="14"/>
        <v>1.0000100001005167E-5</v>
      </c>
      <c r="Z43" s="25"/>
      <c r="AA43" s="20">
        <f t="shared" si="16"/>
        <v>16652.653573712319</v>
      </c>
      <c r="AB43" s="20">
        <f t="shared" si="17"/>
        <v>315.40454870915357</v>
      </c>
      <c r="AC43" s="20">
        <f t="shared" si="18"/>
        <v>4.9666655918949028</v>
      </c>
      <c r="AD43" s="20">
        <f t="shared" si="19"/>
        <v>3.1669590073299746E-2</v>
      </c>
      <c r="AE43" s="20">
        <f t="shared" si="20"/>
        <v>2.1356523848668321E-5</v>
      </c>
      <c r="AF43" s="20">
        <f t="shared" si="21"/>
        <v>2.4500142099116862E-6</v>
      </c>
      <c r="AG43" s="20">
        <f t="shared" si="22"/>
        <v>4.674614529622896E-10</v>
      </c>
      <c r="AH43" s="20">
        <f t="shared" si="23"/>
        <v>1.237370712741148E-12</v>
      </c>
      <c r="AI43" s="20">
        <f t="shared" si="24"/>
        <v>0</v>
      </c>
      <c r="AJ43" s="20">
        <v>50</v>
      </c>
      <c r="AK43" s="25"/>
      <c r="AL43" s="20">
        <f t="shared" si="25"/>
        <v>17023.056481410447</v>
      </c>
      <c r="AM43" s="25"/>
      <c r="AN43" s="20">
        <f t="shared" si="26"/>
        <v>93601.436566955977</v>
      </c>
      <c r="AO43" s="20">
        <f t="shared" si="27"/>
        <v>305.9435185895527</v>
      </c>
      <c r="AQ43" s="20">
        <f t="shared" si="28"/>
        <v>3.9908638934527138E-5</v>
      </c>
      <c r="AR43" s="20">
        <v>335</v>
      </c>
      <c r="AS43" s="20">
        <f t="shared" si="29"/>
        <v>0.17655001361276051</v>
      </c>
    </row>
    <row r="44" spans="2:45" x14ac:dyDescent="0.3">
      <c r="B44" s="32">
        <v>64</v>
      </c>
      <c r="C44" s="32">
        <v>17987</v>
      </c>
      <c r="D44" s="7">
        <f t="shared" si="15"/>
        <v>337</v>
      </c>
      <c r="E44" s="17">
        <f>1/$E$29-LN($E$29)+($J$16*EXP($J$16/($D$14*$J$15))/(($D$14*$J$15^2)*(1-1.05*($J$17^1.26))))*'F(T,E)'!F24</f>
        <v>-2.619815829279597</v>
      </c>
      <c r="F44" s="17">
        <f>1/$F$29-LN($F$29)+($K$16*EXP($K$16/($D$14*$K$15))/(($D$14*$K$15^2)*(1-1.05*($K$17^1.26))))*'F(T,E)'!G24</f>
        <v>-4.7770504733712764</v>
      </c>
      <c r="G44" s="17">
        <f>1/$G$29-LN($G$29)+($L$16*EXP($L$16/($D$14*$L$15))/(($D$14*$L$15^2)*(1-1.05*($L$17^1.26))))*'F(T,E)'!H24</f>
        <v>-3.0431804889894432</v>
      </c>
      <c r="H44" s="17">
        <f>1/$H$29-LN($H$29)+($M$16*EXP($M$16/($D$14*$M$15))/(($D$14*$M$15^2)*(1-1.05*($M$17^1.26))))*'F(T,E)'!I24</f>
        <v>-11.512905342582323</v>
      </c>
      <c r="I44" s="17">
        <f>1/$I$29-LN($I$29)+($N$16*EXP($N$16/($D$14*$N$15))/(($D$14*$N$15^2)*(1-1.05*($N$17^1.26))))*'F(T,E)'!J24</f>
        <v>-3.9912056092011459</v>
      </c>
      <c r="J44" s="17">
        <f>1/$J$29-LN($J$29)+($O$16*EXP($O$16/($D$14*$O$15))/(($D$14*$O$15^2)*(1-1.05*($O$17^1.26))))*'F(T,E)'!K24</f>
        <v>-1.6534403033069447</v>
      </c>
      <c r="K44" s="17">
        <f>1/$K$29-LN($K$29)+($P$16*EXP($P$16/($D$14*$P$15))/(($D$14*$P$15^2)*(1-1.05*($P$17^1.26))))*'F(T,E)'!L24</f>
        <v>0.30244346506530162</v>
      </c>
      <c r="L44" s="17">
        <f>1/$L$29-LN($L$29)+($Q$16*EXP($Q$16/($D$14*$Q$15))/(($D$14*$Q$15^2)*(1-1.05*($Q$17^1.26))))*'F(T,E)'!M24</f>
        <v>-1.1827777265622506</v>
      </c>
      <c r="M44" s="17">
        <f>1/$M$29-LN($M$29)+($R$16*EXP($R$16/($D$14*$R$15))/(($D$14*$R$15^2)*(1-1.05*($R$17^1.26))))*'F(T,E)'!N24</f>
        <v>0.43362888243903086</v>
      </c>
      <c r="N44" s="17">
        <f>1/$N$29-LN($N$29)+($S$16*EXP($S$16/($D$14*$S$15))/(($D$14*$S$15^2)*(1-1.05*($S$17^1.26))))*'F(T,E)'!O24</f>
        <v>-11.512905464819497</v>
      </c>
      <c r="O44" s="25"/>
      <c r="P44" s="20">
        <f t="shared" si="5"/>
        <v>6.8027494555018345E-2</v>
      </c>
      <c r="Q44" s="20">
        <f t="shared" si="6"/>
        <v>8.350772363827752E-3</v>
      </c>
      <c r="R44" s="20">
        <f t="shared" si="7"/>
        <v>4.5559331194113893E-2</v>
      </c>
      <c r="S44" s="20">
        <f t="shared" si="8"/>
        <v>1.0000101223379121E-5</v>
      </c>
      <c r="T44" s="20">
        <f t="shared" si="9"/>
        <v>1.8145171607305971E-2</v>
      </c>
      <c r="U44" s="20">
        <f t="shared" si="10"/>
        <v>0.16265899870567771</v>
      </c>
      <c r="V44" s="20">
        <f t="shared" si="11"/>
        <v>0.68328568795617461</v>
      </c>
      <c r="W44" s="20">
        <f t="shared" si="12"/>
        <v>0.24084091997427742</v>
      </c>
      <c r="X44" s="20">
        <f t="shared" si="13"/>
        <v>0.73776237447520721</v>
      </c>
      <c r="Y44" s="20">
        <f t="shared" si="14"/>
        <v>1.0000100001007316E-5</v>
      </c>
      <c r="Z44" s="25"/>
      <c r="AA44" s="20">
        <f t="shared" si="16"/>
        <v>17241.289366806715</v>
      </c>
      <c r="AB44" s="20">
        <f t="shared" si="17"/>
        <v>408.27550276326991</v>
      </c>
      <c r="AC44" s="20">
        <f t="shared" si="18"/>
        <v>6.5712726352617032</v>
      </c>
      <c r="AD44" s="20">
        <f t="shared" si="19"/>
        <v>4.4368169687196139E-2</v>
      </c>
      <c r="AE44" s="20">
        <f t="shared" si="20"/>
        <v>3.3570656005503505E-5</v>
      </c>
      <c r="AF44" s="20">
        <f t="shared" si="21"/>
        <v>3.4999596196170378E-6</v>
      </c>
      <c r="AG44" s="20">
        <f t="shared" si="22"/>
        <v>7.4682121874370897E-10</v>
      </c>
      <c r="AH44" s="20">
        <f t="shared" si="23"/>
        <v>2.0178983230889187E-12</v>
      </c>
      <c r="AI44" s="20">
        <f t="shared" si="24"/>
        <v>0</v>
      </c>
      <c r="AJ44" s="20">
        <v>50</v>
      </c>
      <c r="AK44" s="25"/>
      <c r="AL44" s="20">
        <f t="shared" si="25"/>
        <v>17706.180547446304</v>
      </c>
      <c r="AM44" s="25"/>
      <c r="AN44" s="20">
        <f t="shared" si="26"/>
        <v>78859.564932557783</v>
      </c>
      <c r="AO44" s="20">
        <f t="shared" si="27"/>
        <v>280.81945255369646</v>
      </c>
      <c r="AQ44" s="20">
        <f t="shared" si="28"/>
        <v>3.6631343554599973E-5</v>
      </c>
      <c r="AR44" s="20">
        <v>337</v>
      </c>
      <c r="AS44" s="20">
        <f t="shared" si="29"/>
        <v>0.15612356288080084</v>
      </c>
    </row>
    <row r="45" spans="2:45" x14ac:dyDescent="0.3">
      <c r="B45" s="32">
        <v>66</v>
      </c>
      <c r="C45" s="32">
        <v>17798</v>
      </c>
      <c r="D45" s="7">
        <f t="shared" si="15"/>
        <v>339</v>
      </c>
      <c r="E45" s="17">
        <f>1/$E$29-LN($E$29)+($J$16*EXP($J$16/($D$14*$J$15))/(($D$14*$J$15^2)*(1-1.05*($J$17^1.26))))*'F(T,E)'!F25</f>
        <v>-2.4177476432621354</v>
      </c>
      <c r="F45" s="17">
        <f>1/$F$29-LN($F$29)+($K$16*EXP($K$16/($D$14*$K$15))/(($D$14*$K$15^2)*(1-1.05*($K$17^1.26))))*'F(T,E)'!G25</f>
        <v>-4.7765275586765155</v>
      </c>
      <c r="G45" s="17">
        <f>1/$G$29-LN($G$29)+($L$16*EXP($L$16/($D$14*$L$15))/(($D$14*$L$15^2)*(1-1.05*($L$17^1.26))))*'F(T,E)'!H25</f>
        <v>-3.04317263953615</v>
      </c>
      <c r="H45" s="17">
        <f>1/$H$29-LN($H$29)+($M$16*EXP($M$16/($D$14*$M$15))/(($D$14*$M$15^2)*(1-1.05*($M$17^1.26))))*'F(T,E)'!I25</f>
        <v>-11.512905292255448</v>
      </c>
      <c r="I45" s="17">
        <f>1/$I$29-LN($I$29)+($N$16*EXP($N$16/($D$14*$N$15))/(($D$14*$N$15^2)*(1-1.05*($N$17^1.26))))*'F(T,E)'!J25</f>
        <v>-3.9912056091831585</v>
      </c>
      <c r="J45" s="17">
        <f>1/$J$29-LN($J$29)+($O$16*EXP($O$16/($D$14*$O$15))/(($D$14*$O$15^2)*(1-1.05*($O$17^1.26))))*'F(T,E)'!K25</f>
        <v>-1.6534403032087395</v>
      </c>
      <c r="K45" s="17">
        <f>1/$K$29-LN($K$29)+($P$16*EXP($P$16/($D$14*$P$15))/(($D$14*$P$15^2)*(1-1.05*($P$17^1.26))))*'F(T,E)'!L25</f>
        <v>0.30244346506531888</v>
      </c>
      <c r="L45" s="17">
        <f>1/$L$29-LN($L$29)+($Q$16*EXP($Q$16/($D$14*$Q$15))/(($D$14*$Q$15^2)*(1-1.05*($Q$17^1.26))))*'F(T,E)'!M25</f>
        <v>-1.1827777265622503</v>
      </c>
      <c r="M45" s="17">
        <f>1/$M$29-LN($M$29)+($R$16*EXP($R$16/($D$14*$R$15))/(($D$14*$R$15^2)*(1-1.05*($R$17^1.26))))*'F(T,E)'!N25</f>
        <v>1.3172546400402858</v>
      </c>
      <c r="N45" s="17">
        <f>1/$N$29-LN($N$29)+($S$16*EXP($S$16/($D$14*$S$15))/(($D$14*$S$15^2)*(1-1.05*($S$17^1.26))))*'F(T,E)'!O25</f>
        <v>-11.512905464819193</v>
      </c>
      <c r="O45" s="25"/>
      <c r="P45" s="20">
        <f t="shared" si="5"/>
        <v>8.2097695013156072E-2</v>
      </c>
      <c r="Q45" s="20">
        <f t="shared" si="6"/>
        <v>8.3551040555119617E-3</v>
      </c>
      <c r="R45" s="20">
        <f t="shared" si="7"/>
        <v>4.5559673228387311E-2</v>
      </c>
      <c r="S45" s="20">
        <f t="shared" si="8"/>
        <v>1.0000101726647948E-5</v>
      </c>
      <c r="T45" s="20">
        <f t="shared" si="9"/>
        <v>1.8145171607626541E-2</v>
      </c>
      <c r="U45" s="20">
        <f t="shared" si="10"/>
        <v>0.16265899871941686</v>
      </c>
      <c r="V45" s="20">
        <f t="shared" si="11"/>
        <v>0.68328568795618172</v>
      </c>
      <c r="W45" s="20">
        <f t="shared" si="12"/>
        <v>0.24084091997427748</v>
      </c>
      <c r="X45" s="20">
        <f t="shared" si="13"/>
        <v>1.1647490144624379</v>
      </c>
      <c r="Y45" s="20">
        <f t="shared" si="14"/>
        <v>1.0000100001010354E-5</v>
      </c>
      <c r="Z45" s="25"/>
      <c r="AA45" s="20">
        <f t="shared" si="16"/>
        <v>17179.16769745525</v>
      </c>
      <c r="AB45" s="20">
        <f t="shared" si="17"/>
        <v>526.82046723803376</v>
      </c>
      <c r="AC45" s="20">
        <f t="shared" si="18"/>
        <v>8.665598624734649</v>
      </c>
      <c r="AD45" s="20">
        <f t="shared" si="19"/>
        <v>6.1911710286809002E-2</v>
      </c>
      <c r="AE45" s="20">
        <f t="shared" si="20"/>
        <v>5.2489367721917212E-5</v>
      </c>
      <c r="AF45" s="20">
        <f t="shared" si="21"/>
        <v>4.9788587020600913E-6</v>
      </c>
      <c r="AG45" s="20">
        <f t="shared" si="22"/>
        <v>1.1865516751662322E-9</v>
      </c>
      <c r="AH45" s="20">
        <f t="shared" si="23"/>
        <v>3.2718436206076568E-12</v>
      </c>
      <c r="AI45" s="20">
        <f t="shared" si="24"/>
        <v>0</v>
      </c>
      <c r="AJ45" s="20">
        <v>50</v>
      </c>
      <c r="AK45" s="25"/>
      <c r="AL45" s="20">
        <f t="shared" si="25"/>
        <v>17764.715732497723</v>
      </c>
      <c r="AM45" s="25"/>
      <c r="AN45" s="20">
        <f t="shared" si="26"/>
        <v>1107.8424631631085</v>
      </c>
      <c r="AO45" s="20">
        <f t="shared" si="27"/>
        <v>33.284267502276634</v>
      </c>
      <c r="AQ45" s="20">
        <f t="shared" si="28"/>
        <v>4.3417485033589901E-6</v>
      </c>
      <c r="AR45" s="20">
        <v>339</v>
      </c>
      <c r="AS45" s="20">
        <f t="shared" si="29"/>
        <v>1.8701127937002265E-2</v>
      </c>
    </row>
    <row r="46" spans="2:45" x14ac:dyDescent="0.3">
      <c r="B46" s="32">
        <v>67</v>
      </c>
      <c r="C46" s="32">
        <v>17408</v>
      </c>
      <c r="D46" s="7">
        <f t="shared" si="15"/>
        <v>340</v>
      </c>
      <c r="E46" s="17">
        <f>1/$E$29-LN($E$29)+($J$16*EXP($J$16/($D$14*$J$15))/(($D$14*$J$15^2)*(1-1.05*($J$17^1.26))))*'F(T,E)'!F26</f>
        <v>-2.30080185933023</v>
      </c>
      <c r="F46" s="17">
        <f>1/$F$29-LN($F$29)+($K$16*EXP($K$16/($D$14*$K$15))/(($D$14*$K$15^2)*(1-1.05*($K$17^1.26))))*'F(T,E)'!G26</f>
        <v>-4.7762117865479095</v>
      </c>
      <c r="G46" s="17">
        <f>1/$G$29-LN($G$29)+($L$16*EXP($L$16/($D$14*$L$15))/(($D$14*$L$15^2)*(1-1.05*($L$17^1.26))))*'F(T,E)'!H26</f>
        <v>-3.0431678254352983</v>
      </c>
      <c r="H46" s="17">
        <f>1/$H$29-LN($H$29)+($M$16*EXP($M$16/($D$14*$M$15))/(($D$14*$M$15^2)*(1-1.05*($M$17^1.26))))*'F(T,E)'!I26</f>
        <v>-11.512905260093033</v>
      </c>
      <c r="I46" s="17">
        <f>1/$I$29-LN($I$29)+($N$16*EXP($N$16/($D$14*$N$15))/(($D$14*$N$15^2)*(1-1.05*($N$17^1.26))))*'F(T,E)'!J26</f>
        <v>-3.9912056091706782</v>
      </c>
      <c r="J46" s="17">
        <f>1/$J$29-LN($J$29)+($O$16*EXP($O$16/($D$14*$O$15))/(($D$14*$O$15^2)*(1-1.05*($O$17^1.26))))*'F(T,E)'!K26</f>
        <v>-1.6534403031450959</v>
      </c>
      <c r="K46" s="17">
        <f>1/$K$29-LN($K$29)+($P$16*EXP($P$16/($D$14*$P$15))/(($D$14*$P$15^2)*(1-1.05*($P$17^1.26))))*'F(T,E)'!L26</f>
        <v>0.30244346506533099</v>
      </c>
      <c r="L46" s="17">
        <f>1/$L$29-LN($L$29)+($Q$16*EXP($Q$16/($D$14*$Q$15))/(($D$14*$Q$15^2)*(1-1.05*($Q$17^1.26))))*'F(T,E)'!M26</f>
        <v>-1.1827777265622503</v>
      </c>
      <c r="M46" s="17">
        <f>1/$M$29-LN($M$29)+($R$16*EXP($R$16/($D$14*$R$15))/(($D$14*$R$15^2)*(1-1.05*($R$17^1.26))))*'F(T,E)'!N26</f>
        <v>1.7793499083558313</v>
      </c>
      <c r="N46" s="17">
        <f>1/$N$29-LN($N$29)+($S$16*EXP($S$16/($D$14*$S$15))/(($D$14*$S$15^2)*(1-1.05*($S$17^1.26))))*'F(T,E)'!O26</f>
        <v>-11.512905464818999</v>
      </c>
      <c r="O46" s="25"/>
      <c r="P46" s="20">
        <f t="shared" si="5"/>
        <v>9.1425792068319953E-2</v>
      </c>
      <c r="Q46" s="20">
        <f t="shared" si="6"/>
        <v>8.3577209101311813E-3</v>
      </c>
      <c r="R46" s="20">
        <f t="shared" si="7"/>
        <v>4.5559883000579414E-2</v>
      </c>
      <c r="S46" s="20">
        <f t="shared" si="8"/>
        <v>1.0000102048272157E-5</v>
      </c>
      <c r="T46" s="20">
        <f t="shared" si="9"/>
        <v>1.814517160784896E-2</v>
      </c>
      <c r="U46" s="20">
        <f t="shared" si="10"/>
        <v>0.16265899872832079</v>
      </c>
      <c r="V46" s="20">
        <f t="shared" si="11"/>
        <v>0.6832856879561866</v>
      </c>
      <c r="W46" s="20">
        <f t="shared" si="12"/>
        <v>0.24084091997427748</v>
      </c>
      <c r="X46" s="20">
        <f t="shared" si="13"/>
        <v>1.4251046551332158</v>
      </c>
      <c r="Y46" s="20">
        <f t="shared" si="14"/>
        <v>1.000010000101229E-5</v>
      </c>
      <c r="Z46" s="25"/>
      <c r="AA46" s="20">
        <f t="shared" si="16"/>
        <v>16867.071955404394</v>
      </c>
      <c r="AB46" s="20">
        <f t="shared" si="17"/>
        <v>597.72894266829178</v>
      </c>
      <c r="AC46" s="20">
        <f t="shared" si="18"/>
        <v>9.9389988672357585</v>
      </c>
      <c r="AD46" s="20">
        <f t="shared" si="19"/>
        <v>7.3027268104793389E-2</v>
      </c>
      <c r="AE46" s="20">
        <f t="shared" si="20"/>
        <v>6.5504437824409365E-5</v>
      </c>
      <c r="AF46" s="20">
        <f t="shared" si="21"/>
        <v>5.9290879229526119E-6</v>
      </c>
      <c r="AG46" s="20">
        <f t="shared" si="22"/>
        <v>1.4925695843440363E-9</v>
      </c>
      <c r="AH46" s="20">
        <f t="shared" si="23"/>
        <v>4.1573172553633526E-12</v>
      </c>
      <c r="AI46" s="20">
        <f t="shared" si="24"/>
        <v>0</v>
      </c>
      <c r="AJ46" s="20">
        <v>50</v>
      </c>
      <c r="AK46" s="25"/>
      <c r="AL46" s="20">
        <f t="shared" si="25"/>
        <v>17524.812995643046</v>
      </c>
      <c r="AM46" s="25"/>
      <c r="AN46" s="20">
        <f t="shared" si="26"/>
        <v>13645.27595110222</v>
      </c>
      <c r="AO46" s="20">
        <f t="shared" si="27"/>
        <v>116.81299564304572</v>
      </c>
      <c r="AQ46" s="20">
        <f t="shared" si="28"/>
        <v>1.5237608848426167E-5</v>
      </c>
      <c r="AR46" s="20">
        <v>340</v>
      </c>
      <c r="AS46" s="20">
        <f t="shared" si="29"/>
        <v>-6.7103053563330489E-2</v>
      </c>
    </row>
    <row r="47" spans="2:45" x14ac:dyDescent="0.3">
      <c r="B47" s="32">
        <v>69</v>
      </c>
      <c r="C47" s="32">
        <v>16522</v>
      </c>
      <c r="D47" s="7">
        <f t="shared" si="15"/>
        <v>342</v>
      </c>
      <c r="E47" s="17">
        <f>1/$E$29-LN($E$29)+($J$16*EXP($J$16/($D$14*$J$15))/(($D$14*$J$15^2)*(1-1.05*($J$17^1.26))))*'F(T,E)'!F27</f>
        <v>-2.0298175816810486</v>
      </c>
      <c r="F47" s="17">
        <f>1/$F$29-LN($F$29)+($K$16*EXP($K$16/($D$14*$K$15))/(($D$14*$K$15^2)*(1-1.05*($K$17^1.26))))*'F(T,E)'!G27</f>
        <v>-4.7754474132637155</v>
      </c>
      <c r="G47" s="17">
        <f>1/$G$29-LN($G$29)+($L$16*EXP($L$16/($D$14*$L$15))/(($D$14*$L$15^2)*(1-1.05*($L$17^1.26))))*'F(T,E)'!H27</f>
        <v>-3.0431559837588003</v>
      </c>
      <c r="H47" s="17">
        <f>1/$H$29-LN($H$29)+($M$16*EXP($M$16/($D$14*$M$15))/(($D$14*$M$15^2)*(1-1.05*($M$17^1.26))))*'F(T,E)'!I27</f>
        <v>-11.512905177516231</v>
      </c>
      <c r="I47" s="17">
        <f>1/$I$29-LN($I$29)+($N$16*EXP($N$16/($D$14*$N$15))/(($D$14*$N$15^2)*(1-1.05*($N$17^1.26))))*'F(T,E)'!J27</f>
        <v>-3.9912056091357289</v>
      </c>
      <c r="J47" s="17">
        <f>1/$J$29-LN($J$29)+($O$16*EXP($O$16/($D$14*$O$15))/(($D$14*$O$15^2)*(1-1.05*($O$17^1.26))))*'F(T,E)'!K27</f>
        <v>-1.653440302979281</v>
      </c>
      <c r="K47" s="17">
        <f>1/$K$29-LN($K$29)+($P$16*EXP($P$16/($D$14*$P$15))/(($D$14*$P$15^2)*(1-1.05*($P$17^1.26))))*'F(T,E)'!L27</f>
        <v>0.30244346506536529</v>
      </c>
      <c r="L47" s="17">
        <f>1/$L$29-LN($L$29)+($Q$16*EXP($Q$16/($D$14*$Q$15))/(($D$14*$Q$15^2)*(1-1.05*($Q$17^1.26))))*'F(T,E)'!M27</f>
        <v>-1.1827777265622501</v>
      </c>
      <c r="M47" s="17">
        <f>1/$M$29-LN($M$29)+($R$16*EXP($R$16/($D$14*$R$15))/(($D$14*$R$15^2)*(1-1.05*($R$17^1.26))))*'F(T,E)'!N27</f>
        <v>2.7457499544158495</v>
      </c>
      <c r="N47" s="17">
        <f>1/$N$29-LN($N$29)+($S$16*EXP($S$16/($D$14*$S$15))/(($D$14*$S$15^2)*(1-1.05*($S$17^1.26))))*'F(T,E)'!O27</f>
        <v>-11.5129054648185</v>
      </c>
      <c r="O47" s="25"/>
      <c r="P47" s="20">
        <f t="shared" si="5"/>
        <v>0.1168705746203148</v>
      </c>
      <c r="Q47" s="20">
        <f t="shared" si="6"/>
        <v>8.364058760580528E-3</v>
      </c>
      <c r="R47" s="20">
        <f t="shared" si="7"/>
        <v>4.5560399000022934E-2</v>
      </c>
      <c r="S47" s="20">
        <f t="shared" si="8"/>
        <v>1.0000102874040383E-5</v>
      </c>
      <c r="T47" s="20">
        <f t="shared" si="9"/>
        <v>1.8145171608471816E-2</v>
      </c>
      <c r="U47" s="20">
        <f t="shared" si="10"/>
        <v>0.16265899875151871</v>
      </c>
      <c r="V47" s="20">
        <f t="shared" si="11"/>
        <v>0.68328568795620059</v>
      </c>
      <c r="W47" s="20">
        <f t="shared" si="12"/>
        <v>0.24084091997427751</v>
      </c>
      <c r="X47" s="20">
        <f t="shared" si="13"/>
        <v>2.0351704029390008</v>
      </c>
      <c r="Y47" s="20">
        <f t="shared" si="14"/>
        <v>1.0000100001017281E-5</v>
      </c>
      <c r="Z47" s="25"/>
      <c r="AA47" s="20">
        <f t="shared" si="16"/>
        <v>15655.073778633126</v>
      </c>
      <c r="AB47" s="20">
        <f t="shared" si="17"/>
        <v>767.65371295352315</v>
      </c>
      <c r="AC47" s="20">
        <f t="shared" si="18"/>
        <v>13.0432300907793</v>
      </c>
      <c r="AD47" s="20">
        <f t="shared" si="19"/>
        <v>0.10130979633498241</v>
      </c>
      <c r="AE47" s="20">
        <f t="shared" si="20"/>
        <v>1.0162060592492039E-4</v>
      </c>
      <c r="AF47" s="20">
        <f t="shared" si="21"/>
        <v>8.3824935003053185E-6</v>
      </c>
      <c r="AG47" s="20">
        <f t="shared" si="22"/>
        <v>2.3522432935702163E-9</v>
      </c>
      <c r="AH47" s="20">
        <f t="shared" si="23"/>
        <v>6.6838932330233167E-12</v>
      </c>
      <c r="AI47" s="20">
        <f t="shared" si="24"/>
        <v>0</v>
      </c>
      <c r="AJ47" s="20">
        <v>50</v>
      </c>
      <c r="AK47" s="25"/>
      <c r="AL47" s="20">
        <f t="shared" si="25"/>
        <v>16485.87214147922</v>
      </c>
      <c r="AM47" s="25"/>
      <c r="AN47" s="20">
        <f t="shared" si="26"/>
        <v>1305.2221612975059</v>
      </c>
      <c r="AO47" s="20">
        <f t="shared" si="27"/>
        <v>36.127858520780137</v>
      </c>
      <c r="AQ47" s="20">
        <f t="shared" si="28"/>
        <v>4.7126792155312848E-6</v>
      </c>
      <c r="AR47" s="20">
        <v>342</v>
      </c>
      <c r="AS47" s="20">
        <f t="shared" si="29"/>
        <v>2.1866516475475207E-2</v>
      </c>
    </row>
    <row r="48" spans="2:45" x14ac:dyDescent="0.3">
      <c r="B48" s="32">
        <v>70</v>
      </c>
      <c r="C48" s="32">
        <v>15144</v>
      </c>
      <c r="D48" s="7">
        <f t="shared" si="15"/>
        <v>343</v>
      </c>
      <c r="E48" s="17">
        <f>1/$E$29-LN($E$29)+($J$16*EXP($J$16/($D$14*$J$15))/(($D$14*$J$15^2)*(1-1.05*($J$17^1.26))))*'F(T,E)'!F28</f>
        <v>-1.8733844152891328</v>
      </c>
      <c r="F48" s="17">
        <f>1/$F$29-LN($F$29)+($K$16*EXP($K$16/($D$14*$K$15))/(($D$14*$K$15^2)*(1-1.05*($K$17^1.26))))*'F(T,E)'!G28</f>
        <v>-4.7749873365309536</v>
      </c>
      <c r="G48" s="17">
        <f>1/$G$29-LN($G$29)+($L$16*EXP($L$16/($D$14*$L$15))/(($D$14*$L$15^2)*(1-1.05*($L$17^1.26))))*'F(T,E)'!H28</f>
        <v>-3.043148746805433</v>
      </c>
      <c r="H48" s="17">
        <f>1/$H$29-LN($H$29)+($M$16*EXP($M$16/($D$14*$M$15))/(($D$14*$M$15^2)*(1-1.05*($M$17^1.26))))*'F(T,E)'!I28</f>
        <v>-11.51290512496665</v>
      </c>
      <c r="I48" s="17">
        <f>1/$I$29-LN($I$29)+($N$16*EXP($N$16/($D$14*$N$15))/(($D$14*$N$15^2)*(1-1.05*($N$17^1.26))))*'F(T,E)'!J28</f>
        <v>-3.9912056091116157</v>
      </c>
      <c r="J48" s="17">
        <f>1/$J$29-LN($J$29)+($O$16*EXP($O$16/($D$14*$O$15))/(($D$14*$O$15^2)*(1-1.05*($O$17^1.26))))*'F(T,E)'!K28</f>
        <v>-1.653440302872301</v>
      </c>
      <c r="K48" s="17">
        <f>1/$K$29-LN($K$29)+($P$16*EXP($P$16/($D$14*$P$15))/(($D$14*$P$15^2)*(1-1.05*($P$17^1.26))))*'F(T,E)'!L28</f>
        <v>0.30244346506538927</v>
      </c>
      <c r="L48" s="17">
        <f>1/$L$29-LN($L$29)+($Q$16*EXP($Q$16/($D$14*$Q$15))/(($D$14*$Q$15^2)*(1-1.05*($Q$17^1.26))))*'F(T,E)'!M28</f>
        <v>-1.1827777265622501</v>
      </c>
      <c r="M48" s="17">
        <f>1/$M$29-LN($M$29)+($R$16*EXP($R$16/($D$14*$R$15))/(($D$14*$R$15^2)*(1-1.05*($R$17^1.26))))*'F(T,E)'!N28</f>
        <v>3.2507295318419338</v>
      </c>
      <c r="N48" s="17">
        <f>1/$N$29-LN($N$29)+($S$16*EXP($S$16/($D$14*$S$15))/(($D$14*$S$15^2)*(1-1.05*($S$17^1.26))))*'F(T,E)'!O28</f>
        <v>-11.51290546481818</v>
      </c>
      <c r="O48" s="25"/>
      <c r="P48" s="20">
        <f t="shared" si="5"/>
        <v>0.13429937960983243</v>
      </c>
      <c r="Q48" s="20">
        <f t="shared" si="6"/>
        <v>8.3678758140656642E-3</v>
      </c>
      <c r="R48" s="20">
        <f t="shared" si="7"/>
        <v>4.5560714352033814E-2</v>
      </c>
      <c r="S48" s="20">
        <f t="shared" si="8"/>
        <v>1.0000103399536357E-5</v>
      </c>
      <c r="T48" s="20">
        <f t="shared" si="9"/>
        <v>1.8145171608901556E-2</v>
      </c>
      <c r="U48" s="20">
        <f t="shared" si="10"/>
        <v>0.16265899876648546</v>
      </c>
      <c r="V48" s="20">
        <f t="shared" si="11"/>
        <v>0.68328568795621025</v>
      </c>
      <c r="W48" s="20">
        <f t="shared" si="12"/>
        <v>0.24084091997427751</v>
      </c>
      <c r="X48" s="20">
        <f t="shared" si="13"/>
        <v>2.3825557681580847</v>
      </c>
      <c r="Y48" s="20">
        <f t="shared" si="14"/>
        <v>1.0000100001020478E-5</v>
      </c>
      <c r="Z48" s="25"/>
      <c r="AA48" s="20">
        <f t="shared" si="16"/>
        <v>14768.051987863442</v>
      </c>
      <c r="AB48" s="20">
        <f t="shared" si="17"/>
        <v>868.93125505680609</v>
      </c>
      <c r="AC48" s="20">
        <f t="shared" si="18"/>
        <v>14.924149778316439</v>
      </c>
      <c r="AD48" s="20">
        <f t="shared" si="19"/>
        <v>0.11915517595837546</v>
      </c>
      <c r="AE48" s="20">
        <f t="shared" si="20"/>
        <v>1.2632906881429652E-4</v>
      </c>
      <c r="AF48" s="20">
        <f t="shared" si="21"/>
        <v>9.9519510430843443E-6</v>
      </c>
      <c r="AG48" s="20">
        <f t="shared" si="22"/>
        <v>2.947081551786827E-9</v>
      </c>
      <c r="AH48" s="20">
        <f t="shared" si="23"/>
        <v>8.4573801342509922E-12</v>
      </c>
      <c r="AI48" s="20">
        <f t="shared" si="24"/>
        <v>0</v>
      </c>
      <c r="AJ48" s="20">
        <v>50</v>
      </c>
      <c r="AK48" s="25"/>
      <c r="AL48" s="20">
        <f t="shared" si="25"/>
        <v>15702.0266841585</v>
      </c>
      <c r="AM48" s="25"/>
      <c r="AN48" s="20">
        <f t="shared" si="26"/>
        <v>311393.78023293015</v>
      </c>
      <c r="AO48" s="20">
        <f t="shared" si="27"/>
        <v>558.02668415849985</v>
      </c>
      <c r="AQ48" s="20">
        <f t="shared" si="28"/>
        <v>7.2791492876141161E-5</v>
      </c>
      <c r="AR48" s="20">
        <v>343</v>
      </c>
      <c r="AS48" s="20">
        <f t="shared" si="29"/>
        <v>-0.36848037781200466</v>
      </c>
    </row>
    <row r="49" spans="2:45" x14ac:dyDescent="0.3">
      <c r="B49" s="32">
        <v>72</v>
      </c>
      <c r="C49" s="32">
        <v>13671</v>
      </c>
      <c r="D49" s="7">
        <f t="shared" si="15"/>
        <v>345</v>
      </c>
      <c r="E49" s="17">
        <f>1/$E$29-LN($E$29)+($J$16*EXP($J$16/($D$14*$J$15))/(($D$14*$J$15^2)*(1-1.05*($J$17^1.26))))*'F(T,E)'!F29</f>
        <v>-1.5118356786437039</v>
      </c>
      <c r="F49" s="17">
        <f>1/$F$29-LN($F$29)+($K$16*EXP($K$16/($D$14*$K$15))/(($D$14*$K$15^2)*(1-1.05*($K$17^1.26))))*'F(T,E)'!G29</f>
        <v>-4.773877383004641</v>
      </c>
      <c r="G49" s="17">
        <f>1/$G$29-LN($G$29)+($L$16*EXP($L$16/($D$14*$L$15))/(($D$14*$L$15^2)*(1-1.05*($L$17^1.26))))*'F(T,E)'!H29</f>
        <v>-3.0431310100999043</v>
      </c>
      <c r="H49" s="17">
        <f>1/$H$29-LN($H$29)+($M$16*EXP($M$16/($D$14*$M$15))/(($D$14*$M$15^2)*(1-1.05*($M$17^1.26))))*'F(T,E)'!I29</f>
        <v>-11.512904990638663</v>
      </c>
      <c r="I49" s="17">
        <f>1/$I$29-LN($I$29)+($N$16*EXP($N$16/($D$14*$N$15))/(($D$14*$N$15^2)*(1-1.05*($N$17^1.26))))*'F(T,E)'!J29</f>
        <v>-3.9912056090444912</v>
      </c>
      <c r="J49" s="17">
        <f>1/$J$29-LN($J$29)+($O$16*EXP($O$16/($D$14*$O$15))/(($D$14*$O$15^2)*(1-1.05*($O$17^1.26))))*'F(T,E)'!K29</f>
        <v>-1.6534403025948754</v>
      </c>
      <c r="K49" s="17">
        <f>1/$K$29-LN($K$29)+($P$16*EXP($P$16/($D$14*$P$15))/(($D$14*$P$15^2)*(1-1.05*($P$17^1.26))))*'F(T,E)'!L29</f>
        <v>0.30244346506545672</v>
      </c>
      <c r="L49" s="17">
        <f>1/$L$29-LN($L$29)+($Q$16*EXP($Q$16/($D$14*$Q$15))/(($D$14*$Q$15^2)*(1-1.05*($Q$17^1.26))))*'F(T,E)'!M29</f>
        <v>-1.1827777265622497</v>
      </c>
      <c r="M49" s="17">
        <f>1/$M$29-LN($M$29)+($R$16*EXP($R$16/($D$14*$R$15))/(($D$14*$R$15^2)*(1-1.05*($R$17^1.26))))*'F(T,E)'!N29</f>
        <v>4.3059776193096244</v>
      </c>
      <c r="N49" s="17">
        <f>1/$N$29-LN($N$29)+($S$16*EXP($S$16/($D$14*$S$15))/(($D$14*$S$15^2)*(1-1.05*($S$17^1.26))))*'F(T,E)'!O29</f>
        <v>-11.512905464817365</v>
      </c>
      <c r="O49" s="25"/>
      <c r="P49" s="20">
        <f t="shared" si="5"/>
        <v>0.18353177687193659</v>
      </c>
      <c r="Q49" s="20">
        <f t="shared" si="6"/>
        <v>8.3770917209858159E-3</v>
      </c>
      <c r="R49" s="20">
        <f t="shared" si="7"/>
        <v>4.5561487242138259E-2</v>
      </c>
      <c r="S49" s="20">
        <f t="shared" si="8"/>
        <v>1.000010474281677E-5</v>
      </c>
      <c r="T49" s="20">
        <f t="shared" si="9"/>
        <v>1.8145171610097838E-2</v>
      </c>
      <c r="U49" s="20">
        <f t="shared" si="10"/>
        <v>0.16265899880529802</v>
      </c>
      <c r="V49" s="20">
        <f t="shared" si="11"/>
        <v>0.68328568795623756</v>
      </c>
      <c r="W49" s="20">
        <f t="shared" si="12"/>
        <v>0.24084091997427762</v>
      </c>
      <c r="X49" s="20">
        <f t="shared" si="13"/>
        <v>3.1565104802707569</v>
      </c>
      <c r="Y49" s="20">
        <f t="shared" si="14"/>
        <v>1.0000100001028629E-5</v>
      </c>
      <c r="Z49" s="25"/>
      <c r="AA49" s="20">
        <f t="shared" si="16"/>
        <v>12532.305200000947</v>
      </c>
      <c r="AB49" s="20">
        <f t="shared" si="17"/>
        <v>1110.717585077572</v>
      </c>
      <c r="AC49" s="20">
        <f t="shared" si="18"/>
        <v>19.4930388460476</v>
      </c>
      <c r="AD49" s="20">
        <f t="shared" si="19"/>
        <v>0.16436540812543265</v>
      </c>
      <c r="AE49" s="20">
        <f t="shared" si="20"/>
        <v>1.9449232683192794E-4</v>
      </c>
      <c r="AF49" s="20">
        <f t="shared" si="21"/>
        <v>1.3985628279149803E-5</v>
      </c>
      <c r="AG49" s="20">
        <f t="shared" si="22"/>
        <v>4.6079653252457495E-9</v>
      </c>
      <c r="AH49" s="20">
        <f t="shared" si="23"/>
        <v>1.3485623923516044E-11</v>
      </c>
      <c r="AI49" s="20">
        <f t="shared" si="24"/>
        <v>0</v>
      </c>
      <c r="AJ49" s="20">
        <v>50</v>
      </c>
      <c r="AK49" s="25"/>
      <c r="AL49" s="20">
        <f t="shared" si="25"/>
        <v>13712.680397815266</v>
      </c>
      <c r="AM49" s="25"/>
      <c r="AN49" s="20">
        <f t="shared" si="26"/>
        <v>1737.2555620388039</v>
      </c>
      <c r="AO49" s="20">
        <f t="shared" si="27"/>
        <v>41.680397815265678</v>
      </c>
      <c r="AQ49" s="20">
        <f t="shared" si="28"/>
        <v>5.4369772392154656E-6</v>
      </c>
      <c r="AR49" s="20">
        <v>345</v>
      </c>
      <c r="AS49" s="20">
        <f t="shared" si="29"/>
        <v>-3.0488185074439088E-2</v>
      </c>
    </row>
    <row r="50" spans="2:45" x14ac:dyDescent="0.3">
      <c r="B50" s="32">
        <v>73</v>
      </c>
      <c r="C50" s="32">
        <v>11888</v>
      </c>
      <c r="D50" s="7">
        <f t="shared" si="15"/>
        <v>346</v>
      </c>
      <c r="E50" s="17">
        <f>1/$E$29-LN($E$29)+($J$16*EXP($J$16/($D$14*$J$15))/(($D$14*$J$15^2)*(1-1.05*($J$17^1.26))))*'F(T,E)'!F30</f>
        <v>-1.3036369695231058</v>
      </c>
      <c r="F50" s="17">
        <f>1/$F$29-LN($F$29)+($K$16*EXP($K$16/($D$14*$K$15))/(($D$14*$K$15^2)*(1-1.05*($K$17^1.26))))*'F(T,E)'!G30</f>
        <v>-4.7732114236413405</v>
      </c>
      <c r="G50" s="17">
        <f>1/$G$29-LN($G$29)+($L$16*EXP($L$16/($D$14*$L$15))/(($D$14*$L$15^2)*(1-1.05*($L$17^1.26))))*'F(T,E)'!H30</f>
        <v>-3.0431202076668109</v>
      </c>
      <c r="H50" s="17">
        <f>1/$H$29-LN($H$29)+($M$16*EXP($M$16/($D$14*$M$15))/(($D$14*$M$15^2)*(1-1.05*($M$17^1.26))))*'F(T,E)'!I30</f>
        <v>-11.512904905507796</v>
      </c>
      <c r="I50" s="17">
        <f>1/$I$29-LN($I$29)+($N$16*EXP($N$16/($D$14*$N$15))/(($D$14*$N$15^2)*(1-1.05*($N$17^1.26))))*'F(T,E)'!J30</f>
        <v>-3.9912056089984316</v>
      </c>
      <c r="J50" s="17">
        <f>1/$J$29-LN($J$29)+($O$16*EXP($O$16/($D$14*$O$15))/(($D$14*$O$15^2)*(1-1.05*($O$17^1.26))))*'F(T,E)'!K30</f>
        <v>-1.6534403024166644</v>
      </c>
      <c r="K50" s="17">
        <f>1/$K$29-LN($K$29)+($P$16*EXP($P$16/($D$14*$P$15))/(($D$14*$P$15^2)*(1-1.05*($P$17^1.26))))*'F(T,E)'!L30</f>
        <v>0.30244346506550357</v>
      </c>
      <c r="L50" s="17">
        <f>1/$L$29-LN($L$29)+($Q$16*EXP($Q$16/($D$14*$Q$15))/(($D$14*$Q$15^2)*(1-1.05*($Q$17^1.26))))*'F(T,E)'!M30</f>
        <v>-1.1827777265622497</v>
      </c>
      <c r="M50" s="17">
        <f>1/$M$29-LN($M$29)+($R$16*EXP($R$16/($D$14*$R$15))/(($D$14*$R$15^2)*(1-1.05*($R$17^1.26))))*'F(T,E)'!N30</f>
        <v>4.8569553805440329</v>
      </c>
      <c r="N50" s="17">
        <f>1/$N$29-LN($N$29)+($S$16*EXP($S$16/($D$14*$S$15))/(($D$14*$S$15^2)*(1-1.05*($S$17^1.26))))*'F(T,E)'!O30</f>
        <v>-11.512905464816848</v>
      </c>
      <c r="O50" s="25"/>
      <c r="P50" s="20">
        <f t="shared" si="5"/>
        <v>0.21829069081437252</v>
      </c>
      <c r="Q50" s="20">
        <f t="shared" si="6"/>
        <v>8.3826259898605298E-3</v>
      </c>
      <c r="R50" s="20">
        <f t="shared" si="7"/>
        <v>4.5561957972320349E-2</v>
      </c>
      <c r="S50" s="20">
        <f t="shared" si="8"/>
        <v>1.0000105594125889E-5</v>
      </c>
      <c r="T50" s="20">
        <f t="shared" si="9"/>
        <v>1.8145171610918706E-2</v>
      </c>
      <c r="U50" s="20">
        <f t="shared" si="10"/>
        <v>0.16265899883023022</v>
      </c>
      <c r="V50" s="20">
        <f t="shared" si="11"/>
        <v>0.68328568795625666</v>
      </c>
      <c r="W50" s="20">
        <f t="shared" si="12"/>
        <v>0.24084091997427762</v>
      </c>
      <c r="X50" s="20">
        <f t="shared" si="13"/>
        <v>3.5812449024607753</v>
      </c>
      <c r="Y50" s="20">
        <f t="shared" si="14"/>
        <v>1.00001000010338E-5</v>
      </c>
      <c r="Z50" s="25"/>
      <c r="AA50" s="20">
        <f t="shared" si="16"/>
        <v>11250.600073061392</v>
      </c>
      <c r="AB50" s="20">
        <f t="shared" si="17"/>
        <v>1254.2966403366356</v>
      </c>
      <c r="AC50" s="20">
        <f t="shared" si="18"/>
        <v>22.252089836599545</v>
      </c>
      <c r="AD50" s="20">
        <f t="shared" si="19"/>
        <v>0.19277625734381659</v>
      </c>
      <c r="AE50" s="20">
        <f t="shared" si="20"/>
        <v>2.408738401628333E-4</v>
      </c>
      <c r="AF50" s="20">
        <f t="shared" si="21"/>
        <v>1.655496315226568E-5</v>
      </c>
      <c r="AG50" s="20">
        <f t="shared" si="22"/>
        <v>5.7507723869502704E-9</v>
      </c>
      <c r="AH50" s="20">
        <f t="shared" si="23"/>
        <v>1.6994569374086395E-11</v>
      </c>
      <c r="AI50" s="20">
        <f t="shared" si="24"/>
        <v>0</v>
      </c>
      <c r="AJ50" s="20">
        <v>50</v>
      </c>
      <c r="AK50" s="25"/>
      <c r="AL50" s="20">
        <f t="shared" si="25"/>
        <v>12577.341836926542</v>
      </c>
      <c r="AM50" s="25"/>
      <c r="AN50" s="20">
        <f t="shared" si="26"/>
        <v>475192.16813725902</v>
      </c>
      <c r="AO50" s="20">
        <f t="shared" si="27"/>
        <v>689.34183692654187</v>
      </c>
      <c r="AQ50" s="20">
        <f t="shared" si="28"/>
        <v>8.9920827867815729E-5</v>
      </c>
      <c r="AR50" s="20">
        <v>346</v>
      </c>
      <c r="AS50" s="20">
        <f t="shared" si="29"/>
        <v>-0.57986359095435891</v>
      </c>
    </row>
    <row r="51" spans="2:45" x14ac:dyDescent="0.3">
      <c r="B51" s="32">
        <v>75</v>
      </c>
      <c r="C51" s="32">
        <v>10089</v>
      </c>
      <c r="D51" s="7">
        <f t="shared" si="15"/>
        <v>348</v>
      </c>
      <c r="E51" s="17">
        <f>1/$E$29-LN($E$29)+($J$16*EXP($J$16/($D$14*$J$15))/(($D$14*$J$15^2)*(1-1.05*($J$17^1.26))))*'F(T,E)'!F31</f>
        <v>-0.82365620064294109</v>
      </c>
      <c r="F51" s="17">
        <f>1/$F$29-LN($F$29)+($K$16*EXP($K$16/($D$14*$K$15))/(($D$14*$K$15^2)*(1-1.05*($K$17^1.26))))*'F(T,E)'!G31</f>
        <v>-4.7716100109671569</v>
      </c>
      <c r="G51" s="17">
        <f>1/$G$29-LN($G$29)+($L$16*EXP($L$16/($D$14*$L$15))/(($D$14*$L$15^2)*(1-1.05*($L$17^1.26))))*'F(T,E)'!H31</f>
        <v>-3.0430938261713307</v>
      </c>
      <c r="H51" s="17">
        <f>1/$H$29-LN($H$29)+($M$16*EXP($M$16/($D$14*$M$15))/(($D$14*$M$15^2)*(1-1.05*($M$17^1.26))))*'F(T,E)'!I31</f>
        <v>-11.512904688825978</v>
      </c>
      <c r="I51" s="17">
        <f>1/$I$29-LN($I$29)+($N$16*EXP($N$16/($D$14*$N$15))/(($D$14*$N$15^2)*(1-1.05*($N$17^1.26))))*'F(T,E)'!J31</f>
        <v>-3.9912056088709558</v>
      </c>
      <c r="J51" s="17">
        <f>1/$J$29-LN($J$29)+($O$16*EXP($O$16/($D$14*$O$15))/(($D$14*$O$15^2)*(1-1.05*($O$17^1.26))))*'F(T,E)'!K31</f>
        <v>-1.6534403019566131</v>
      </c>
      <c r="K51" s="17">
        <f>1/$K$29-LN($K$29)+($P$16*EXP($P$16/($D$14*$P$15))/(($D$14*$P$15^2)*(1-1.05*($P$17^1.26))))*'F(T,E)'!L31</f>
        <v>0.30244346506563469</v>
      </c>
      <c r="L51" s="17">
        <f>1/$L$29-LN($L$29)+($Q$16*EXP($Q$16/($D$14*$Q$15))/(($D$14*$Q$15^2)*(1-1.05*($Q$17^1.26))))*'F(T,E)'!M31</f>
        <v>-1.182777726562249</v>
      </c>
      <c r="M51" s="17">
        <f>1/$M$29-LN($M$29)+($R$16*EXP($R$16/($D$14*$R$15))/(($D$14*$R$15^2)*(1-1.05*($R$17^1.26))))*'F(T,E)'!N31</f>
        <v>6.007435310143606</v>
      </c>
      <c r="N51" s="17">
        <f>1/$N$29-LN($N$29)+($S$16*EXP($S$16/($D$14*$S$15))/(($D$14*$S$15^2)*(1-1.05*($S$17^1.26))))*'F(T,E)'!O31</f>
        <v>-11.512905464815528</v>
      </c>
      <c r="O51" s="25"/>
      <c r="P51" s="20">
        <f t="shared" si="5"/>
        <v>0.31897774448689825</v>
      </c>
      <c r="Q51" s="20">
        <f t="shared" si="6"/>
        <v>8.3959489283639485E-3</v>
      </c>
      <c r="R51" s="20">
        <f t="shared" si="7"/>
        <v>4.5563107600118793E-2</v>
      </c>
      <c r="S51" s="20">
        <f t="shared" si="8"/>
        <v>1.0000107760945511E-5</v>
      </c>
      <c r="T51" s="20">
        <f t="shared" si="9"/>
        <v>1.8145171613190552E-2</v>
      </c>
      <c r="U51" s="20">
        <f t="shared" si="10"/>
        <v>0.16265899889459259</v>
      </c>
      <c r="V51" s="20">
        <f t="shared" si="11"/>
        <v>0.68328568795630984</v>
      </c>
      <c r="W51" s="20">
        <f t="shared" si="12"/>
        <v>0.2408409199742777</v>
      </c>
      <c r="X51" s="20">
        <f t="shared" si="13"/>
        <v>4.5027475361062681</v>
      </c>
      <c r="Y51" s="20">
        <f t="shared" si="14"/>
        <v>1.0000100001046998E-5</v>
      </c>
      <c r="Z51" s="25"/>
      <c r="AA51" s="20">
        <f t="shared" si="16"/>
        <v>8577.006578389397</v>
      </c>
      <c r="AB51" s="20">
        <f t="shared" si="17"/>
        <v>1595.7364939361646</v>
      </c>
      <c r="AC51" s="20">
        <f t="shared" si="18"/>
        <v>28.930766325914856</v>
      </c>
      <c r="AD51" s="20">
        <f t="shared" si="19"/>
        <v>0.26445143049967573</v>
      </c>
      <c r="AE51" s="20">
        <f t="shared" si="20"/>
        <v>3.6809715636698908E-4</v>
      </c>
      <c r="AF51" s="20">
        <f t="shared" si="21"/>
        <v>2.3129051707722693E-5</v>
      </c>
      <c r="AG51" s="20">
        <f t="shared" si="22"/>
        <v>8.9228012226266499E-9</v>
      </c>
      <c r="AH51" s="20">
        <f t="shared" si="23"/>
        <v>2.688169788658818E-11</v>
      </c>
      <c r="AI51" s="20">
        <f t="shared" si="24"/>
        <v>0</v>
      </c>
      <c r="AJ51" s="20">
        <v>50</v>
      </c>
      <c r="AK51" s="25"/>
      <c r="AL51" s="20">
        <f t="shared" si="25"/>
        <v>10251.938681317135</v>
      </c>
      <c r="AM51" s="25"/>
      <c r="AN51" s="20">
        <f t="shared" si="26"/>
        <v>26549.01386936687</v>
      </c>
      <c r="AO51" s="20">
        <f t="shared" si="27"/>
        <v>162.93868131713498</v>
      </c>
      <c r="AQ51" s="20">
        <f t="shared" si="28"/>
        <v>2.1254449288979234E-5</v>
      </c>
      <c r="AR51" s="20">
        <v>348</v>
      </c>
      <c r="AS51" s="20">
        <f t="shared" si="29"/>
        <v>-0.16150131957293587</v>
      </c>
    </row>
    <row r="52" spans="2:45" x14ac:dyDescent="0.3">
      <c r="B52" s="32">
        <v>76</v>
      </c>
      <c r="C52" s="32">
        <v>8598</v>
      </c>
      <c r="D52" s="7">
        <f t="shared" si="15"/>
        <v>349</v>
      </c>
      <c r="E52" s="17">
        <f>1/$E$29-LN($E$29)+($J$16*EXP($J$16/($D$14*$J$15))/(($D$14*$J$15^2)*(1-1.05*($J$17^1.26))))*'F(T,E)'!F32</f>
        <v>-0.54792314713618673</v>
      </c>
      <c r="F52" s="17">
        <f>1/$F$29-LN($F$29)+($K$16*EXP($K$16/($D$14*$K$15))/(($D$14*$K$15^2)*(1-1.05*($K$17^1.26))))*'F(T,E)'!G32</f>
        <v>-4.7706521566241644</v>
      </c>
      <c r="G52" s="17">
        <f>1/$G$29-LN($G$29)+($L$16*EXP($L$16/($D$14*$L$15))/(($D$14*$L$15^2)*(1-1.05*($L$17^1.26))))*'F(T,E)'!H32</f>
        <v>-3.0430778124596243</v>
      </c>
      <c r="H52" s="17">
        <f>1/$H$29-LN($H$29)+($M$16*EXP($M$16/($D$14*$M$15))/(($D$14*$M$15^2)*(1-1.05*($M$17^1.26))))*'F(T,E)'!I32</f>
        <v>-11.51290455205382</v>
      </c>
      <c r="I52" s="17">
        <f>1/$I$29-LN($I$29)+($N$16*EXP($N$16/($D$14*$N$15))/(($D$14*$N$15^2)*(1-1.05*($N$17^1.26))))*'F(T,E)'!J32</f>
        <v>-3.9912056087839503</v>
      </c>
      <c r="J52" s="17">
        <f>1/$J$29-LN($J$29)+($O$16*EXP($O$16/($D$14*$O$15))/(($D$14*$O$15^2)*(1-1.05*($O$17^1.26))))*'F(T,E)'!K32</f>
        <v>-1.65344030166234</v>
      </c>
      <c r="K52" s="17">
        <f>1/$K$29-LN($K$29)+($P$16*EXP($P$16/($D$14*$P$15))/(($D$14*$P$15^2)*(1-1.05*($P$17^1.26))))*'F(T,E)'!L32</f>
        <v>0.30244346506572517</v>
      </c>
      <c r="L52" s="17">
        <f>1/$L$29-LN($L$29)+($Q$16*EXP($Q$16/($D$14*$Q$15))/(($D$14*$Q$15^2)*(1-1.05*($Q$17^1.26))))*'F(T,E)'!M32</f>
        <v>-1.1827777265622486</v>
      </c>
      <c r="M52" s="17">
        <f>1/$M$29-LN($M$29)+($R$16*EXP($R$16/($D$14*$R$15))/(($D$14*$R$15^2)*(1-1.05*($R$17^1.26))))*'F(T,E)'!N32</f>
        <v>6.6076819911070785</v>
      </c>
      <c r="N52" s="17">
        <f>1/$N$29-LN($N$29)+($S$16*EXP($S$16/($D$14*$S$15))/(($D$14*$S$15^2)*(1-1.05*($S$17^1.26))))*'F(T,E)'!O32</f>
        <v>-11.512905464814692</v>
      </c>
      <c r="O52" s="25"/>
      <c r="P52" s="20">
        <f t="shared" si="5"/>
        <v>0.39103501737271501</v>
      </c>
      <c r="Q52" s="20">
        <f t="shared" si="6"/>
        <v>8.403927822994834E-3</v>
      </c>
      <c r="R52" s="20">
        <f t="shared" si="7"/>
        <v>4.5563805443996692E-2</v>
      </c>
      <c r="S52" s="20">
        <f t="shared" si="8"/>
        <v>1.0000109128668244E-5</v>
      </c>
      <c r="T52" s="20">
        <f t="shared" si="9"/>
        <v>1.8145171614741145E-2</v>
      </c>
      <c r="U52" s="20">
        <f t="shared" si="10"/>
        <v>0.16265899893576213</v>
      </c>
      <c r="V52" s="20">
        <f t="shared" si="11"/>
        <v>0.68328568795634659</v>
      </c>
      <c r="W52" s="20">
        <f t="shared" si="12"/>
        <v>0.24084091997427781</v>
      </c>
      <c r="X52" s="20">
        <f t="shared" si="13"/>
        <v>4.9985367679185808</v>
      </c>
      <c r="Y52" s="20">
        <f t="shared" si="14"/>
        <v>1.0000100001055365E-5</v>
      </c>
      <c r="Z52" s="25"/>
      <c r="AA52" s="20">
        <f t="shared" si="16"/>
        <v>7279.7426684283955</v>
      </c>
      <c r="AB52" s="20">
        <f t="shared" si="17"/>
        <v>1797.7156597732983</v>
      </c>
      <c r="AC52" s="20">
        <f t="shared" si="18"/>
        <v>32.950598436581473</v>
      </c>
      <c r="AD52" s="20">
        <f t="shared" si="19"/>
        <v>0.30931573558006092</v>
      </c>
      <c r="AE52" s="20">
        <f t="shared" si="20"/>
        <v>4.5421063810691976E-4</v>
      </c>
      <c r="AF52" s="20">
        <f t="shared" si="21"/>
        <v>2.7299106655463277E-5</v>
      </c>
      <c r="AG52" s="20">
        <f t="shared" si="22"/>
        <v>1.1093505110344201E-8</v>
      </c>
      <c r="AH52" s="20">
        <f t="shared" si="23"/>
        <v>3.3742249390241082E-11</v>
      </c>
      <c r="AI52" s="20">
        <f t="shared" si="24"/>
        <v>0</v>
      </c>
      <c r="AJ52" s="20">
        <v>50</v>
      </c>
      <c r="AK52" s="25"/>
      <c r="AL52" s="20">
        <f t="shared" si="25"/>
        <v>9160.7187238947299</v>
      </c>
      <c r="AM52" s="25"/>
      <c r="AN52" s="20">
        <f t="shared" si="26"/>
        <v>316652.36222171329</v>
      </c>
      <c r="AO52" s="20">
        <f t="shared" si="27"/>
        <v>562.71872389472992</v>
      </c>
      <c r="AQ52" s="20">
        <f t="shared" si="28"/>
        <v>7.3403543494382476E-5</v>
      </c>
      <c r="AR52" s="20">
        <v>349</v>
      </c>
      <c r="AS52" s="20">
        <f t="shared" si="29"/>
        <v>-0.65447630134302159</v>
      </c>
    </row>
    <row r="53" spans="2:45" x14ac:dyDescent="0.3">
      <c r="B53" s="32">
        <v>78</v>
      </c>
      <c r="C53" s="32">
        <v>7340</v>
      </c>
      <c r="D53" s="7">
        <f t="shared" si="15"/>
        <v>351</v>
      </c>
      <c r="E53" s="17">
        <f>1/$E$29-LN($E$29)+($J$16*EXP($J$16/($D$14*$J$15))/(($D$14*$J$15^2)*(1-1.05*($J$17^1.26))))*'F(T,E)'!F33</f>
        <v>8.6195781751352563E-2</v>
      </c>
      <c r="F53" s="17">
        <f>1/$F$29-LN($F$29)+($K$16*EXP($K$16/($D$14*$K$15))/(($D$14*$K$15^2)*(1-1.05*($K$17^1.26))))*'F(T,E)'!G33</f>
        <v>-4.7683561513976276</v>
      </c>
      <c r="G53" s="17">
        <f>1/$G$29-LN($G$29)+($L$16*EXP($L$16/($D$14*$L$15))/(($D$14*$L$15^2)*(1-1.05*($L$17^1.26))))*'F(T,E)'!H33</f>
        <v>-3.043038838861428</v>
      </c>
      <c r="H53" s="17">
        <f>1/$H$29-LN($H$29)+($M$16*EXP($M$16/($D$14*$M$15))/(($D$14*$M$15^2)*(1-1.05*($M$17^1.26))))*'F(T,E)'!I33</f>
        <v>-11.512904205380993</v>
      </c>
      <c r="I53" s="17">
        <f>1/$I$29-LN($I$29)+($N$16*EXP($N$16/($D$14*$N$15))/(($D$14*$N$15^2)*(1-1.05*($N$17^1.26))))*'F(T,E)'!J33</f>
        <v>-3.991205608544508</v>
      </c>
      <c r="J53" s="17">
        <f>1/$J$29-LN($J$29)+($O$16*EXP($O$16/($D$14*$O$15))/(($D$14*$O$15^2)*(1-1.05*($O$17^1.26))))*'F(T,E)'!K33</f>
        <v>-1.6534403009060268</v>
      </c>
      <c r="K53" s="17">
        <f>1/$K$29-LN($K$29)+($P$16*EXP($P$16/($D$14*$P$15))/(($D$14*$P$15^2)*(1-1.05*($P$17^1.26))))*'F(T,E)'!L33</f>
        <v>0.30244346506597708</v>
      </c>
      <c r="L53" s="17">
        <f>1/$L$29-LN($L$29)+($Q$16*EXP($Q$16/($D$14*$Q$15))/(($D$14*$Q$15^2)*(1-1.05*($Q$17^1.26))))*'F(T,E)'!M33</f>
        <v>-1.1827777265622474</v>
      </c>
      <c r="M53" s="17">
        <f>1/$M$29-LN($M$29)+($R$16*EXP($R$16/($D$14*$R$15))/(($D$14*$R$15^2)*(1-1.05*($R$17^1.26))))*'F(T,E)'!N33</f>
        <v>7.8600948993188346</v>
      </c>
      <c r="N53" s="17">
        <f>1/$N$29-LN($N$29)+($S$16*EXP($S$16/($D$14*$S$15))/(($D$14*$S$15^2)*(1-1.05*($S$17^1.26))))*'F(T,E)'!O33</f>
        <v>-11.512905464812571</v>
      </c>
      <c r="O53" s="25"/>
      <c r="P53" s="20">
        <f t="shared" si="5"/>
        <v>0.59888367692581257</v>
      </c>
      <c r="Q53" s="20">
        <f t="shared" si="6"/>
        <v>8.4230840969517478E-3</v>
      </c>
      <c r="R53" s="20">
        <f t="shared" si="7"/>
        <v>4.5565503874155477E-2</v>
      </c>
      <c r="S53" s="20">
        <f t="shared" si="8"/>
        <v>1.0000112595400283E-5</v>
      </c>
      <c r="T53" s="20">
        <f t="shared" si="9"/>
        <v>1.8145171619008433E-2</v>
      </c>
      <c r="U53" s="20">
        <f t="shared" si="10"/>
        <v>0.16265899904157233</v>
      </c>
      <c r="V53" s="20">
        <f t="shared" si="11"/>
        <v>0.68328568795644895</v>
      </c>
      <c r="W53" s="20">
        <f t="shared" si="12"/>
        <v>0.24084091997427803</v>
      </c>
      <c r="X53" s="20">
        <f t="shared" si="13"/>
        <v>6.0586138611804357</v>
      </c>
      <c r="Y53" s="20">
        <f t="shared" si="14"/>
        <v>1.0000100001076575E-5</v>
      </c>
      <c r="Z53" s="25"/>
      <c r="AA53" s="20">
        <f t="shared" si="16"/>
        <v>4971.5657116865987</v>
      </c>
      <c r="AB53" s="20">
        <f t="shared" si="17"/>
        <v>2276.0594799099667</v>
      </c>
      <c r="AC53" s="20">
        <f t="shared" si="18"/>
        <v>42.648233304652059</v>
      </c>
      <c r="AD53" s="20">
        <f t="shared" si="19"/>
        <v>0.42203728088469139</v>
      </c>
      <c r="AE53" s="20">
        <f t="shared" si="20"/>
        <v>6.8910656043928015E-4</v>
      </c>
      <c r="AF53" s="20">
        <f t="shared" si="21"/>
        <v>3.7922681887984229E-5</v>
      </c>
      <c r="AG53" s="20">
        <f t="shared" si="22"/>
        <v>1.7083914428566006E-8</v>
      </c>
      <c r="AH53" s="20">
        <f t="shared" si="23"/>
        <v>5.2956737939130714E-11</v>
      </c>
      <c r="AI53" s="20">
        <f t="shared" si="24"/>
        <v>0</v>
      </c>
      <c r="AJ53" s="20">
        <v>50</v>
      </c>
      <c r="AK53" s="25"/>
      <c r="AL53" s="20">
        <f t="shared" si="25"/>
        <v>7340.6961892284826</v>
      </c>
      <c r="AM53" s="25"/>
      <c r="AN53" s="20">
        <f t="shared" si="26"/>
        <v>0.48467944185517109</v>
      </c>
      <c r="AO53" s="20">
        <f t="shared" si="27"/>
        <v>0.6961892284825808</v>
      </c>
      <c r="AQ53" s="20">
        <f t="shared" si="28"/>
        <v>9.0814032203416966E-8</v>
      </c>
      <c r="AR53" s="20">
        <v>351</v>
      </c>
      <c r="AS53" s="20">
        <f t="shared" si="29"/>
        <v>-9.4848668730596844E-4</v>
      </c>
    </row>
    <row r="54" spans="2:45" x14ac:dyDescent="0.3">
      <c r="B54" s="32">
        <v>79</v>
      </c>
      <c r="C54" s="32">
        <v>6480</v>
      </c>
      <c r="D54" s="7">
        <f t="shared" si="15"/>
        <v>352</v>
      </c>
      <c r="E54" s="17">
        <f>1/$E$29-LN($E$29)+($J$16*EXP($J$16/($D$14*$J$15))/(($D$14*$J$15^2)*(1-1.05*($J$17^1.26))))*'F(T,E)'!F34</f>
        <v>0.4496217587421234</v>
      </c>
      <c r="F54" s="17">
        <f>1/$F$29-LN($F$29)+($K$16*EXP($K$16/($D$14*$K$15))/(($D$14*$K$15^2)*(1-1.05*($K$17^1.26))))*'F(T,E)'!G34</f>
        <v>-4.7669869847873061</v>
      </c>
      <c r="G54" s="17">
        <f>1/$G$29-LN($G$29)+($L$16*EXP($L$16/($D$14*$L$15))/(($D$14*$L$15^2)*(1-1.05*($L$17^1.26))))*'F(T,E)'!H34</f>
        <v>-3.0430152588660899</v>
      </c>
      <c r="H54" s="17">
        <f>1/$H$29-LN($H$29)+($M$16*EXP($M$16/($D$14*$M$15))/(($D$14*$M$15^2)*(1-1.05*($M$17^1.26))))*'F(T,E)'!I34</f>
        <v>-11.51290398741261</v>
      </c>
      <c r="I54" s="17">
        <f>1/$I$29-LN($I$29)+($N$16*EXP($N$16/($D$14*$N$15))/(($D$14*$N$15^2)*(1-1.05*($N$17^1.26))))*'F(T,E)'!J34</f>
        <v>-3.9912056083819318</v>
      </c>
      <c r="J54" s="17">
        <f>1/$J$29-LN($J$29)+($O$16*EXP($O$16/($D$14*$O$15))/(($D$14*$O$15^2)*(1-1.05*($O$17^1.26))))*'F(T,E)'!K34</f>
        <v>-1.6534403004242468</v>
      </c>
      <c r="K54" s="17">
        <f>1/$K$29-LN($K$29)+($P$16*EXP($P$16/($D$14*$P$15))/(($D$14*$P$15^2)*(1-1.05*($P$17^1.26))))*'F(T,E)'!L34</f>
        <v>0.30244346506614994</v>
      </c>
      <c r="L54" s="17">
        <f>1/$L$29-LN($L$29)+($Q$16*EXP($Q$16/($D$14*$Q$15))/(($D$14*$Q$15^2)*(1-1.05*($Q$17^1.26))))*'F(T,E)'!M34</f>
        <v>-1.1827777265622466</v>
      </c>
      <c r="M54" s="17">
        <f>1/$M$29-LN($M$29)+($R$16*EXP($R$16/($D$14*$R$15))/(($D$14*$R$15^2)*(1-1.05*($R$17^1.26))))*'F(T,E)'!N34</f>
        <v>8.5130416851289716</v>
      </c>
      <c r="N54" s="17">
        <f>1/$N$29-LN($N$29)+($S$16*EXP($S$16/($D$14*$S$15))/(($D$14*$S$15^2)*(1-1.05*($S$17^1.26))))*'F(T,E)'!O34</f>
        <v>-11.512905464811235</v>
      </c>
      <c r="O54" s="25"/>
      <c r="P54" s="20">
        <f t="shared" si="5"/>
        <v>0.74457007135376951</v>
      </c>
      <c r="Q54" s="20">
        <f t="shared" si="6"/>
        <v>8.4345280759721905E-3</v>
      </c>
      <c r="R54" s="20">
        <f t="shared" si="7"/>
        <v>4.5566531496004675E-2</v>
      </c>
      <c r="S54" s="20">
        <f t="shared" si="8"/>
        <v>1.0000114775087095E-5</v>
      </c>
      <c r="T54" s="20">
        <f t="shared" si="9"/>
        <v>1.8145171621905831E-2</v>
      </c>
      <c r="U54" s="20">
        <f t="shared" si="10"/>
        <v>0.16265899910897458</v>
      </c>
      <c r="V54" s="20">
        <f t="shared" si="11"/>
        <v>0.68328568795651901</v>
      </c>
      <c r="W54" s="20">
        <f t="shared" si="12"/>
        <v>0.2408409199742782</v>
      </c>
      <c r="X54" s="20">
        <f t="shared" si="13"/>
        <v>6.6225597245725485</v>
      </c>
      <c r="Y54" s="20">
        <f t="shared" si="14"/>
        <v>1.0000100001089933E-5</v>
      </c>
      <c r="Z54" s="25"/>
      <c r="AA54" s="20">
        <f t="shared" si="16"/>
        <v>4015.2176729617754</v>
      </c>
      <c r="AB54" s="20">
        <f t="shared" si="17"/>
        <v>2557.8671667919057</v>
      </c>
      <c r="AC54" s="20">
        <f t="shared" si="18"/>
        <v>48.466385784261384</v>
      </c>
      <c r="AD54" s="20">
        <f t="shared" si="19"/>
        <v>0.49232300694910192</v>
      </c>
      <c r="AE54" s="20">
        <f t="shared" si="20"/>
        <v>8.4728495565791588E-4</v>
      </c>
      <c r="AF54" s="20">
        <f t="shared" si="21"/>
        <v>4.463402317423674E-5</v>
      </c>
      <c r="AG54" s="20">
        <f t="shared" si="22"/>
        <v>2.1161556209183139E-8</v>
      </c>
      <c r="AH54" s="20">
        <f t="shared" si="23"/>
        <v>6.6215653948332131E-11</v>
      </c>
      <c r="AI54" s="20">
        <f t="shared" si="24"/>
        <v>0</v>
      </c>
      <c r="AJ54" s="20">
        <v>50</v>
      </c>
      <c r="AK54" s="25"/>
      <c r="AL54" s="20">
        <f t="shared" si="25"/>
        <v>6672.0444404850978</v>
      </c>
      <c r="AM54" s="25"/>
      <c r="AN54" s="20">
        <f t="shared" si="26"/>
        <v>36881.067121234257</v>
      </c>
      <c r="AO54" s="20">
        <f t="shared" si="27"/>
        <v>192.04444048509777</v>
      </c>
      <c r="AQ54" s="20">
        <f t="shared" si="28"/>
        <v>2.505113450363766E-5</v>
      </c>
      <c r="AR54" s="20">
        <v>352</v>
      </c>
      <c r="AS54" s="20">
        <f t="shared" si="29"/>
        <v>-0.29636487729181754</v>
      </c>
    </row>
    <row r="55" spans="2:45" x14ac:dyDescent="0.3">
      <c r="B55" s="32">
        <v>81</v>
      </c>
      <c r="C55" s="32">
        <v>5894</v>
      </c>
      <c r="D55" s="7">
        <f t="shared" si="15"/>
        <v>354</v>
      </c>
      <c r="E55" s="17">
        <f>1/$E$29-LN($E$29)+($J$16*EXP($J$16/($D$14*$J$15))/(($D$14*$J$15^2)*(1-1.05*($J$17^1.26))))*'F(T,E)'!F35</f>
        <v>1.2834205387383442</v>
      </c>
      <c r="F55" s="17">
        <f>1/$F$29-LN($F$29)+($K$16*EXP($K$16/($D$14*$K$15))/(($D$14*$K$15^2)*(1-1.05*($K$17^1.26))))*'F(T,E)'!G35</f>
        <v>-4.7637152118320722</v>
      </c>
      <c r="G55" s="17">
        <f>1/$G$29-LN($G$29)+($L$16*EXP($L$16/($D$14*$L$15))/(($D$14*$L$15^2)*(1-1.05*($L$17^1.26))))*'F(T,E)'!H35</f>
        <v>-3.0429580634092535</v>
      </c>
      <c r="H55" s="17">
        <f>1/$H$29-LN($H$29)+($M$16*EXP($M$16/($D$14*$M$15))/(($D$14*$M$15^2)*(1-1.05*($M$17^1.26))))*'F(T,E)'!I35</f>
        <v>-11.512903437176401</v>
      </c>
      <c r="I55" s="17">
        <f>1/$I$29-LN($I$29)+($N$16*EXP($N$16/($D$14*$N$15))/(($D$14*$N$15^2)*(1-1.05*($N$17^1.26))))*'F(T,E)'!J35</f>
        <v>-3.9912056079369691</v>
      </c>
      <c r="J55" s="17">
        <f>1/$J$29-LN($J$29)+($O$16*EXP($O$16/($D$14*$O$15))/(($D$14*$O$15^2)*(1-1.05*($O$17^1.26))))*'F(T,E)'!K35</f>
        <v>-1.6534402991913444</v>
      </c>
      <c r="K55" s="17">
        <f>1/$K$29-LN($K$29)+($P$16*EXP($P$16/($D$14*$P$15))/(($D$14*$P$15^2)*(1-1.05*($P$17^1.26))))*'F(T,E)'!L35</f>
        <v>0.30244346506662861</v>
      </c>
      <c r="L55" s="17">
        <f>1/$L$29-LN($L$29)+($Q$16*EXP($Q$16/($D$14*$Q$15))/(($D$14*$Q$15^2)*(1-1.05*($Q$17^1.26))))*'F(T,E)'!M35</f>
        <v>-1.1827777265622443</v>
      </c>
      <c r="M55" s="17">
        <f>1/$M$29-LN($M$29)+($R$16*EXP($R$16/($D$14*$R$15))/(($D$14*$R$15^2)*(1-1.05*($R$17^1.26))))*'F(T,E)'!N35</f>
        <v>9.8744131041941472</v>
      </c>
      <c r="N55" s="17">
        <f>1/$N$29-LN($N$29)+($S$16*EXP($S$16/($D$14*$S$15))/(($D$14*$S$15^2)*(1-1.05*($S$17^1.26))))*'F(T,E)'!O35</f>
        <v>-11.512905464807856</v>
      </c>
      <c r="O55" s="25"/>
      <c r="P55" s="20">
        <f t="shared" si="5"/>
        <v>1.1466104144180507</v>
      </c>
      <c r="Q55" s="20">
        <f t="shared" si="6"/>
        <v>8.4619371923903078E-3</v>
      </c>
      <c r="R55" s="20">
        <f t="shared" si="7"/>
        <v>4.5569024179812526E-2</v>
      </c>
      <c r="S55" s="20">
        <f t="shared" si="8"/>
        <v>1.0000120277458824E-5</v>
      </c>
      <c r="T55" s="20">
        <f t="shared" si="9"/>
        <v>1.8145171629835866E-2</v>
      </c>
      <c r="U55" s="20">
        <f t="shared" si="10"/>
        <v>0.16265899928146083</v>
      </c>
      <c r="V55" s="20">
        <f t="shared" si="11"/>
        <v>0.68328568795671329</v>
      </c>
      <c r="W55" s="20">
        <f t="shared" si="12"/>
        <v>0.24084091997427862</v>
      </c>
      <c r="X55" s="20">
        <f t="shared" si="13"/>
        <v>7.8179861130979305</v>
      </c>
      <c r="Y55" s="20">
        <f t="shared" si="14"/>
        <v>1.0000100001123721E-5</v>
      </c>
      <c r="Z55" s="25"/>
      <c r="AA55" s="20">
        <f t="shared" si="16"/>
        <v>2539.5867145377774</v>
      </c>
      <c r="AB55" s="20">
        <f t="shared" si="17"/>
        <v>3222.2986524978728</v>
      </c>
      <c r="AC55" s="20">
        <f t="shared" si="18"/>
        <v>62.455967706114272</v>
      </c>
      <c r="AD55" s="20">
        <f t="shared" si="19"/>
        <v>0.66821285118296136</v>
      </c>
      <c r="AE55" s="20">
        <f t="shared" si="20"/>
        <v>1.2764230751531956E-3</v>
      </c>
      <c r="AF55" s="20">
        <f t="shared" si="21"/>
        <v>6.165958211574901E-5</v>
      </c>
      <c r="AG55" s="20">
        <f t="shared" si="22"/>
        <v>3.2351352013341552E-8</v>
      </c>
      <c r="AH55" s="20">
        <f t="shared" si="23"/>
        <v>1.0313233021935147E-10</v>
      </c>
      <c r="AI55" s="20">
        <f t="shared" si="24"/>
        <v>0</v>
      </c>
      <c r="AJ55" s="20">
        <v>50</v>
      </c>
      <c r="AK55" s="25"/>
      <c r="AL55" s="20">
        <f t="shared" si="25"/>
        <v>5875.0108857080595</v>
      </c>
      <c r="AM55" s="25"/>
      <c r="AN55" s="20">
        <f t="shared" si="26"/>
        <v>360.58646159237878</v>
      </c>
      <c r="AO55" s="20">
        <f t="shared" si="27"/>
        <v>18.989114291940496</v>
      </c>
      <c r="AQ55" s="20">
        <f t="shared" si="28"/>
        <v>2.4770248752359104E-6</v>
      </c>
      <c r="AR55" s="20">
        <v>354</v>
      </c>
      <c r="AS55" s="20">
        <f t="shared" si="29"/>
        <v>3.2217703243875968E-2</v>
      </c>
    </row>
    <row r="56" spans="2:45" x14ac:dyDescent="0.3">
      <c r="B56" s="32">
        <v>82</v>
      </c>
      <c r="C56" s="32">
        <v>5764</v>
      </c>
      <c r="D56" s="7">
        <f t="shared" si="15"/>
        <v>355</v>
      </c>
      <c r="E56" s="17">
        <f>1/$E$29-LN($E$29)+($J$16*EXP($J$16/($D$14*$J$15))/(($D$14*$J$15^2)*(1-1.05*($J$17^1.26))))*'F(T,E)'!F36</f>
        <v>1.7601942775006503</v>
      </c>
      <c r="F56" s="17">
        <f>1/$F$29-LN($F$29)+($K$16*EXP($K$16/($D$14*$K$15))/(($D$14*$K$15^2)*(1-1.05*($K$17^1.26))))*'F(T,E)'!G36</f>
        <v>-4.7617699117148611</v>
      </c>
      <c r="G56" s="17">
        <f>1/$G$29-LN($G$29)+($L$16*EXP($L$16/($D$14*$L$15))/(($D$14*$L$15^2)*(1-1.05*($L$17^1.26))))*'F(T,E)'!H36</f>
        <v>-3.0429235688343872</v>
      </c>
      <c r="H56" s="17">
        <f>1/$H$29-LN($H$29)+($M$16*EXP($M$16/($D$14*$M$15))/(($D$14*$M$15^2)*(1-1.05*($M$17^1.26))))*'F(T,E)'!I36</f>
        <v>-11.512903092537989</v>
      </c>
      <c r="I56" s="17">
        <f>1/$I$29-LN($I$29)+($N$16*EXP($N$16/($D$14*$N$15))/(($D$14*$N$15^2)*(1-1.05*($N$17^1.26))))*'F(T,E)'!J36</f>
        <v>-3.9912056076363802</v>
      </c>
      <c r="J56" s="17">
        <f>1/$J$29-LN($J$29)+($O$16*EXP($O$16/($D$14*$O$15))/(($D$14*$O$15^2)*(1-1.05*($O$17^1.26))))*'F(T,E)'!K36</f>
        <v>-1.6534402984091343</v>
      </c>
      <c r="K56" s="17">
        <f>1/$K$29-LN($K$29)+($P$16*EXP($P$16/($D$14*$P$15))/(($D$14*$P$15^2)*(1-1.05*($P$17^1.26))))*'F(T,E)'!L36</f>
        <v>0.30244346506695535</v>
      </c>
      <c r="L56" s="17">
        <f>1/$L$29-LN($L$29)+($Q$16*EXP($Q$16/($D$14*$Q$15))/(($D$14*$Q$15^2)*(1-1.05*($Q$17^1.26))))*'F(T,E)'!M36</f>
        <v>-1.1827777265622428</v>
      </c>
      <c r="M56" s="17">
        <f>1/$M$29-LN($M$29)+($R$16*EXP($R$16/($D$14*$R$15))/(($D$14*$R$15^2)*(1-1.05*($R$17^1.26))))*'F(T,E)'!N36</f>
        <v>10.583655099670899</v>
      </c>
      <c r="N56" s="17">
        <f>1/$N$29-LN($N$29)+($S$16*EXP($S$16/($D$14*$S$15))/(($D$14*$S$15^2)*(1-1.05*($S$17^1.26))))*'F(T,E)'!O36</f>
        <v>-11.512905464805735</v>
      </c>
      <c r="O56" s="25"/>
      <c r="P56" s="20">
        <f t="shared" si="5"/>
        <v>1.4138662818145105</v>
      </c>
      <c r="Q56" s="20">
        <f t="shared" si="6"/>
        <v>8.4782756975068149E-3</v>
      </c>
      <c r="R56" s="20">
        <f t="shared" si="7"/>
        <v>4.5570527580237691E-2</v>
      </c>
      <c r="S56" s="20">
        <f t="shared" si="8"/>
        <v>1.0000123723850524E-5</v>
      </c>
      <c r="T56" s="20">
        <f t="shared" si="9"/>
        <v>1.8145171635192903E-2</v>
      </c>
      <c r="U56" s="20">
        <f t="shared" si="10"/>
        <v>0.16265899939089404</v>
      </c>
      <c r="V56" s="20">
        <f t="shared" si="11"/>
        <v>0.68328568795684597</v>
      </c>
      <c r="W56" s="20">
        <f t="shared" si="12"/>
        <v>0.24084091997427892</v>
      </c>
      <c r="X56" s="20">
        <f t="shared" si="13"/>
        <v>8.4495427698435108</v>
      </c>
      <c r="Y56" s="20">
        <f t="shared" si="14"/>
        <v>1.0000100001144929E-5</v>
      </c>
      <c r="Z56" s="25"/>
      <c r="AA56" s="20">
        <f t="shared" si="16"/>
        <v>2003.5164651673572</v>
      </c>
      <c r="AB56" s="20">
        <f t="shared" si="17"/>
        <v>3611.9819326615525</v>
      </c>
      <c r="AC56" s="20">
        <f t="shared" si="18"/>
        <v>70.822716777415422</v>
      </c>
      <c r="AD56" s="20">
        <f t="shared" si="19"/>
        <v>0.77747526983562598</v>
      </c>
      <c r="AE56" s="20">
        <f t="shared" si="20"/>
        <v>1.5639586163891028E-3</v>
      </c>
      <c r="AF56" s="20">
        <f t="shared" si="21"/>
        <v>7.2372718376980506E-5</v>
      </c>
      <c r="AG56" s="20">
        <f t="shared" si="22"/>
        <v>3.9928769800609072E-8</v>
      </c>
      <c r="AH56" s="20">
        <f t="shared" si="23"/>
        <v>1.284691372073214E-10</v>
      </c>
      <c r="AI56" s="20">
        <f t="shared" si="24"/>
        <v>0</v>
      </c>
      <c r="AJ56" s="20">
        <v>50</v>
      </c>
      <c r="AK56" s="25"/>
      <c r="AL56" s="20">
        <f t="shared" si="25"/>
        <v>5737.1002262475522</v>
      </c>
      <c r="AM56" s="25"/>
      <c r="AN56" s="20">
        <f t="shared" si="26"/>
        <v>723.59782793287957</v>
      </c>
      <c r="AO56" s="20">
        <f t="shared" si="27"/>
        <v>26.8997737524478</v>
      </c>
      <c r="AQ56" s="20">
        <f t="shared" si="28"/>
        <v>3.508926624940661E-6</v>
      </c>
      <c r="AR56" s="20">
        <v>355</v>
      </c>
      <c r="AS56" s="20">
        <f t="shared" si="29"/>
        <v>4.6668587356779666E-2</v>
      </c>
    </row>
    <row r="57" spans="2:45" x14ac:dyDescent="0.3">
      <c r="B57" s="32">
        <v>83</v>
      </c>
      <c r="C57" s="32">
        <v>6004</v>
      </c>
      <c r="D57" s="7">
        <f t="shared" si="15"/>
        <v>356</v>
      </c>
      <c r="E57" s="17">
        <f>1/$E$29-LN($E$29)+($J$16*EXP($J$16/($D$14*$J$15))/(($D$14*$J$15^2)*(1-1.05*($J$17^1.26))))*'F(T,E)'!F37</f>
        <v>2.2815914984992709</v>
      </c>
      <c r="F57" s="17">
        <f>1/$F$29-LN($F$29)+($K$16*EXP($K$16/($D$14*$K$15))/(($D$14*$K$15^2)*(1-1.05*($K$17^1.26))))*'F(T,E)'!G37</f>
        <v>-4.7595858853767963</v>
      </c>
      <c r="G57" s="17">
        <f>1/$G$29-LN($G$29)+($L$16*EXP($L$16/($D$14*$L$15))/(($D$14*$L$15^2)*(1-1.05*($L$17^1.26))))*'F(T,E)'!H37</f>
        <v>-3.0428844667301411</v>
      </c>
      <c r="H57" s="17">
        <f>1/$H$29-LN($H$29)+($M$16*EXP($M$16/($D$14*$M$15))/(($D$14*$M$15^2)*(1-1.05*($M$17^1.26))))*'F(T,E)'!I37</f>
        <v>-11.5129026917259</v>
      </c>
      <c r="I57" s="17">
        <f>1/$I$29-LN($I$29)+($N$16*EXP($N$16/($D$14*$N$15))/(($D$14*$N$15^2)*(1-1.05*($N$17^1.26))))*'F(T,E)'!J37</f>
        <v>-3.9912056072682982</v>
      </c>
      <c r="J57" s="17">
        <f>1/$J$29-LN($J$29)+($O$16*EXP($O$16/($D$14*$O$15))/(($D$14*$O$15^2)*(1-1.05*($O$17^1.26))))*'F(T,E)'!K37</f>
        <v>-1.6534402974914522</v>
      </c>
      <c r="K57" s="17">
        <f>1/$K$29-LN($K$29)+($P$16*EXP($P$16/($D$14*$P$15))/(($D$14*$P$15^2)*(1-1.05*($P$17^1.26))))*'F(T,E)'!L37</f>
        <v>0.30244346506735842</v>
      </c>
      <c r="L57" s="17">
        <f>1/$L$29-LN($L$29)+($Q$16*EXP($Q$16/($D$14*$Q$15))/(($D$14*$Q$15^2)*(1-1.05*($Q$17^1.26))))*'F(T,E)'!M37</f>
        <v>-1.1827777265622408</v>
      </c>
      <c r="M57" s="17">
        <f>1/$M$29-LN($M$29)+($R$16*EXP($R$16/($D$14*$R$15))/(($D$14*$R$15^2)*(1-1.05*($R$17^1.26))))*'F(T,E)'!N37</f>
        <v>11.312489893477235</v>
      </c>
      <c r="N57" s="17">
        <f>1/$N$29-LN($N$29)+($S$16*EXP($S$16/($D$14*$S$15))/(($D$14*$S$15^2)*(1-1.05*($S$17^1.26))))*'F(T,E)'!O37</f>
        <v>-11.512905464803266</v>
      </c>
      <c r="O57" s="25"/>
      <c r="P57" s="20">
        <f t="shared" si="5"/>
        <v>1.7321995064887923</v>
      </c>
      <c r="Q57" s="20">
        <f t="shared" si="6"/>
        <v>8.4966565331426134E-3</v>
      </c>
      <c r="R57" s="20">
        <f t="shared" si="7"/>
        <v>4.5572231851103033E-2</v>
      </c>
      <c r="S57" s="20">
        <f t="shared" si="8"/>
        <v>1.0000127731981729E-5</v>
      </c>
      <c r="T57" s="20">
        <f t="shared" si="9"/>
        <v>1.8145171641752778E-2</v>
      </c>
      <c r="U57" s="20">
        <f t="shared" si="10"/>
        <v>0.16265899951928012</v>
      </c>
      <c r="V57" s="20">
        <f t="shared" si="11"/>
        <v>0.68328568795700961</v>
      </c>
      <c r="W57" s="20">
        <f t="shared" si="12"/>
        <v>0.24084091997427934</v>
      </c>
      <c r="X57" s="20">
        <f t="shared" si="13"/>
        <v>9.1037981841597357</v>
      </c>
      <c r="Y57" s="20">
        <f t="shared" si="14"/>
        <v>1.000010000116962E-5</v>
      </c>
      <c r="Z57" s="25"/>
      <c r="AA57" s="20">
        <f t="shared" si="16"/>
        <v>1579.673897550641</v>
      </c>
      <c r="AB57" s="20">
        <f t="shared" si="17"/>
        <v>4045.1850634589632</v>
      </c>
      <c r="AC57" s="20">
        <f t="shared" si="18"/>
        <v>80.25320913353687</v>
      </c>
      <c r="AD57" s="20">
        <f t="shared" si="19"/>
        <v>0.90383429094684786</v>
      </c>
      <c r="AE57" s="20">
        <f t="shared" si="20"/>
        <v>1.914080460202216E-3</v>
      </c>
      <c r="AF57" s="20">
        <f t="shared" si="21"/>
        <v>8.4870806026299936E-5</v>
      </c>
      <c r="AG57" s="20">
        <f t="shared" si="22"/>
        <v>4.9222761840041527E-8</v>
      </c>
      <c r="AH57" s="20">
        <f t="shared" si="23"/>
        <v>1.5983313097798108E-10</v>
      </c>
      <c r="AI57" s="20">
        <f t="shared" si="24"/>
        <v>0</v>
      </c>
      <c r="AJ57" s="20">
        <v>50</v>
      </c>
      <c r="AK57" s="25"/>
      <c r="AL57" s="20">
        <f t="shared" si="25"/>
        <v>5756.0180034347368</v>
      </c>
      <c r="AM57" s="25"/>
      <c r="AN57" s="20">
        <f t="shared" si="26"/>
        <v>61495.070620494218</v>
      </c>
      <c r="AO57" s="20">
        <f t="shared" si="27"/>
        <v>247.98199656526322</v>
      </c>
      <c r="AQ57" s="20">
        <f t="shared" si="28"/>
        <v>3.2347879140604832E-5</v>
      </c>
      <c r="AR57" s="20">
        <v>356</v>
      </c>
      <c r="AS57" s="20">
        <f t="shared" si="29"/>
        <v>0.41302797562502203</v>
      </c>
    </row>
    <row r="58" spans="2:45" x14ac:dyDescent="0.3">
      <c r="B58" s="32">
        <v>85</v>
      </c>
      <c r="C58" s="32">
        <v>6384</v>
      </c>
      <c r="D58" s="7">
        <f t="shared" si="15"/>
        <v>358</v>
      </c>
      <c r="E58" s="17">
        <f>1/$E$29-LN($E$29)+($J$16*EXP($J$16/($D$14*$J$15))/(($D$14*$J$15^2)*(1-1.05*($J$17^1.26))))*'F(T,E)'!F38</f>
        <v>3.4741309774659559</v>
      </c>
      <c r="F58" s="17">
        <f>1/$F$29-LN($F$29)+($K$16*EXP($K$16/($D$14*$K$15))/(($D$14*$K$15^2)*(1-1.05*($K$17^1.26))))*'F(T,E)'!G38</f>
        <v>-4.7543878095090228</v>
      </c>
      <c r="G58" s="17">
        <f>1/$G$29-LN($G$29)+($L$16*EXP($L$16/($D$14*$L$15))/(($D$14*$L$15^2)*(1-1.05*($L$17^1.26))))*'F(T,E)'!H38</f>
        <v>-3.042790032766272</v>
      </c>
      <c r="H58" s="17">
        <f>1/$H$29-LN($H$29)+($M$16*EXP($M$16/($D$14*$M$15))/(($D$14*$M$15^2)*(1-1.05*($M$17^1.26))))*'F(T,E)'!I38</f>
        <v>-11.512901685231498</v>
      </c>
      <c r="I58" s="17">
        <f>1/$I$29-LN($I$29)+($N$16*EXP($N$16/($D$14*$N$15))/(($D$14*$N$15^2)*(1-1.05*($N$17^1.26))))*'F(T,E)'!J38</f>
        <v>-3.9912056062680197</v>
      </c>
      <c r="J58" s="17">
        <f>1/$J$29-LN($J$29)+($O$16*EXP($O$16/($D$14*$O$15))/(($D$14*$O$15^2)*(1-1.05*($O$17^1.26))))*'F(T,E)'!K38</f>
        <v>-1.6534402951561042</v>
      </c>
      <c r="K58" s="17">
        <f>1/$K$29-LN($K$29)+($P$16*EXP($P$16/($D$14*$P$15))/(($D$14*$P$15^2)*(1-1.05*($P$17^1.26))))*'F(T,E)'!L38</f>
        <v>0.30244346506846614</v>
      </c>
      <c r="L58" s="17">
        <f>1/$L$29-LN($L$29)+($Q$16*EXP($Q$16/($D$14*$Q$15))/(($D$14*$Q$15^2)*(1-1.05*($Q$17^1.26))))*'F(T,E)'!M38</f>
        <v>-1.1827777265622352</v>
      </c>
      <c r="M58" s="17">
        <f>1/$M$29-LN($M$29)+($R$16*EXP($R$16/($D$14*$R$15))/(($D$14*$R$15^2)*(1-1.05*($R$17^1.26))))*'F(T,E)'!N38</f>
        <v>12.830641351912611</v>
      </c>
      <c r="N58" s="17">
        <f>1/$N$29-LN($N$29)+($S$16*EXP($S$16/($D$14*$S$15))/(($D$14*$S$15^2)*(1-1.05*($S$17^1.26))))*'F(T,E)'!O38</f>
        <v>-11.512905464797052</v>
      </c>
      <c r="O58" s="25"/>
      <c r="P58" s="20">
        <f t="shared" si="5"/>
        <v>2.5414113867032277</v>
      </c>
      <c r="Q58" s="20">
        <f t="shared" si="6"/>
        <v>8.5405627949589353E-3</v>
      </c>
      <c r="R58" s="20">
        <f t="shared" si="7"/>
        <v>4.5576348020453961E-2</v>
      </c>
      <c r="S58" s="20">
        <f t="shared" si="8"/>
        <v>1.000013779695873E-5</v>
      </c>
      <c r="T58" s="20">
        <f t="shared" si="9"/>
        <v>1.8145171659579535E-2</v>
      </c>
      <c r="U58" s="20">
        <f t="shared" si="10"/>
        <v>0.16265899984600135</v>
      </c>
      <c r="V58" s="20">
        <f t="shared" si="11"/>
        <v>0.68328568795745925</v>
      </c>
      <c r="W58" s="20">
        <f t="shared" si="12"/>
        <v>0.24084091997428039</v>
      </c>
      <c r="X58" s="20">
        <f t="shared" si="13"/>
        <v>10.481070528564457</v>
      </c>
      <c r="Y58" s="20">
        <f t="shared" si="14"/>
        <v>1.0000100001231758E-5</v>
      </c>
      <c r="Z58" s="25"/>
      <c r="AA58" s="20">
        <f t="shared" si="16"/>
        <v>991.52426019842346</v>
      </c>
      <c r="AB58" s="20">
        <f t="shared" si="17"/>
        <v>5059.6822297122289</v>
      </c>
      <c r="AC58" s="20">
        <f t="shared" si="18"/>
        <v>102.83118823079066</v>
      </c>
      <c r="AD58" s="20">
        <f t="shared" si="19"/>
        <v>1.2184201043718168</v>
      </c>
      <c r="AE58" s="20">
        <f t="shared" si="20"/>
        <v>2.8573249751020951E-3</v>
      </c>
      <c r="AF58" s="20">
        <f t="shared" si="21"/>
        <v>1.1640341192679484E-4</v>
      </c>
      <c r="AG58" s="20">
        <f t="shared" si="22"/>
        <v>7.4542326754148993E-8</v>
      </c>
      <c r="AH58" s="20">
        <f t="shared" si="23"/>
        <v>2.4649768193418829E-10</v>
      </c>
      <c r="AI58" s="20">
        <f t="shared" si="24"/>
        <v>0</v>
      </c>
      <c r="AJ58" s="20">
        <v>50</v>
      </c>
      <c r="AK58" s="25"/>
      <c r="AL58" s="20">
        <f t="shared" si="25"/>
        <v>6205.2590720489907</v>
      </c>
      <c r="AM58" s="25"/>
      <c r="AN58" s="20">
        <f t="shared" si="26"/>
        <v>31948.319324787906</v>
      </c>
      <c r="AO58" s="20">
        <f t="shared" si="27"/>
        <v>178.74092795100933</v>
      </c>
      <c r="AQ58" s="20">
        <f t="shared" si="28"/>
        <v>2.3315764914075706E-5</v>
      </c>
      <c r="AR58" s="20">
        <v>358</v>
      </c>
      <c r="AS58" s="20">
        <f t="shared" si="29"/>
        <v>0.27998265656486421</v>
      </c>
    </row>
    <row r="59" spans="2:45" x14ac:dyDescent="0.3">
      <c r="B59" s="32">
        <v>87</v>
      </c>
      <c r="C59" s="32">
        <v>7070</v>
      </c>
      <c r="D59" s="7">
        <f t="shared" si="15"/>
        <v>360</v>
      </c>
      <c r="E59" s="17">
        <f>1/$E$29-LN($E$29)+($J$16*EXP($J$16/($D$14*$J$15))/(($D$14*$J$15^2)*(1-1.05*($J$17^1.26))))*'F(T,E)'!F39</f>
        <v>4.8960648131841884</v>
      </c>
      <c r="F59" s="17">
        <f>1/$F$29-LN($F$29)+($K$16*EXP($K$16/($D$14*$K$15))/(($D$14*$K$15^2)*(1-1.05*($K$17^1.26))))*'F(T,E)'!G39</f>
        <v>-4.7478611303666041</v>
      </c>
      <c r="G59" s="17">
        <f>1/$G$29-LN($G$29)+($L$16*EXP($L$16/($D$14*$L$15))/(($D$14*$L$15^2)*(1-1.05*($L$17^1.26))))*'F(T,E)'!H39</f>
        <v>-3.0426691979667115</v>
      </c>
      <c r="H59" s="17">
        <f>1/$H$29-LN($H$29)+($M$16*EXP($M$16/($D$14*$M$15))/(($D$14*$M$15^2)*(1-1.05*($M$17^1.26))))*'F(T,E)'!I39</f>
        <v>-11.512900330817313</v>
      </c>
      <c r="I59" s="17">
        <f>1/$I$29-LN($I$29)+($N$16*EXP($N$16/($D$14*$N$15))/(($D$14*$N$15^2)*(1-1.05*($N$17^1.26))))*'F(T,E)'!J39</f>
        <v>-3.9912056047783802</v>
      </c>
      <c r="J59" s="17">
        <f>1/$J$29-LN($J$29)+($O$16*EXP($O$16/($D$14*$O$15))/(($D$14*$O$15^2)*(1-1.05*($O$17^1.26))))*'F(T,E)'!K39</f>
        <v>-1.6534402919590827</v>
      </c>
      <c r="K59" s="17">
        <f>1/$K$29-LN($K$29)+($P$16*EXP($P$16/($D$14*$P$15))/(($D$14*$P$15^2)*(1-1.05*($P$17^1.26))))*'F(T,E)'!L39</f>
        <v>0.30244346507013942</v>
      </c>
      <c r="L59" s="17">
        <f>1/$L$29-LN($L$29)+($Q$16*EXP($Q$16/($D$14*$Q$15))/(($D$14*$Q$15^2)*(1-1.05*($Q$17^1.26))))*'F(T,E)'!M39</f>
        <v>-1.1827777265622268</v>
      </c>
      <c r="M59" s="17">
        <f>1/$M$29-LN($M$29)+($R$16*EXP($R$16/($D$14*$R$15))/(($D$14*$R$15^2)*(1-1.05*($R$17^1.26))))*'F(T,E)'!N39</f>
        <v>14.432337809256385</v>
      </c>
      <c r="N59" s="17">
        <f>1/$N$29-LN($N$29)+($S$16*EXP($S$16/($D$14*$S$15))/(($D$14*$S$15^2)*(1-1.05*($S$17^1.26))))*'F(T,E)'!O39</f>
        <v>-11.512905464788671</v>
      </c>
      <c r="O59" s="25"/>
      <c r="P59" s="20">
        <f t="shared" si="5"/>
        <v>3.6118458544854333</v>
      </c>
      <c r="Q59" s="20">
        <f t="shared" si="6"/>
        <v>8.5960099702058652E-3</v>
      </c>
      <c r="R59" s="20">
        <f t="shared" si="7"/>
        <v>4.5581615462907614E-2</v>
      </c>
      <c r="S59" s="20">
        <f t="shared" si="8"/>
        <v>1.0000151341160938E-5</v>
      </c>
      <c r="T59" s="20">
        <f t="shared" si="9"/>
        <v>1.814517168612758E-2</v>
      </c>
      <c r="U59" s="20">
        <f t="shared" si="10"/>
        <v>0.16265900029327293</v>
      </c>
      <c r="V59" s="20">
        <f t="shared" si="11"/>
        <v>0.68328568795813838</v>
      </c>
      <c r="W59" s="20">
        <f t="shared" si="12"/>
        <v>0.24084091997428203</v>
      </c>
      <c r="X59" s="20">
        <f t="shared" si="13"/>
        <v>11.951482481540616</v>
      </c>
      <c r="Y59" s="20">
        <f t="shared" si="14"/>
        <v>1.0000100001315565E-5</v>
      </c>
      <c r="Z59" s="25"/>
      <c r="AA59" s="20">
        <f t="shared" si="16"/>
        <v>638.2244703099343</v>
      </c>
      <c r="AB59" s="20">
        <f t="shared" si="17"/>
        <v>6304.1453024408092</v>
      </c>
      <c r="AC59" s="20">
        <f t="shared" si="18"/>
        <v>131.39509473527679</v>
      </c>
      <c r="AD59" s="20">
        <f t="shared" si="19"/>
        <v>1.6370575231193227</v>
      </c>
      <c r="AE59" s="20">
        <f t="shared" si="20"/>
        <v>4.2464474818248721E-3</v>
      </c>
      <c r="AF59" s="20">
        <f t="shared" si="21"/>
        <v>1.5909208252435503E-4</v>
      </c>
      <c r="AG59" s="20">
        <f t="shared" si="22"/>
        <v>1.1236660990872365E-7</v>
      </c>
      <c r="AH59" s="20">
        <f t="shared" si="23"/>
        <v>3.7832789204025311E-10</v>
      </c>
      <c r="AI59" s="20">
        <f t="shared" si="24"/>
        <v>0</v>
      </c>
      <c r="AJ59" s="20">
        <v>50</v>
      </c>
      <c r="AK59" s="25"/>
      <c r="AL59" s="20">
        <f t="shared" si="25"/>
        <v>7125.4063306614489</v>
      </c>
      <c r="AM59" s="25"/>
      <c r="AN59" s="20">
        <f t="shared" si="26"/>
        <v>3069.8614773658146</v>
      </c>
      <c r="AO59" s="20">
        <f t="shared" si="27"/>
        <v>55.406330661448919</v>
      </c>
      <c r="AQ59" s="20">
        <f t="shared" si="28"/>
        <v>7.2274492208520108E-6</v>
      </c>
      <c r="AR59" s="20">
        <v>360</v>
      </c>
      <c r="AS59" s="20">
        <f t="shared" si="29"/>
        <v>-7.8368218757353503E-2</v>
      </c>
    </row>
    <row r="60" spans="2:45" x14ac:dyDescent="0.3">
      <c r="B60" s="32">
        <v>88</v>
      </c>
      <c r="C60" s="32">
        <v>7920</v>
      </c>
      <c r="D60" s="7">
        <f t="shared" si="15"/>
        <v>361</v>
      </c>
      <c r="E60" s="17">
        <f>1/$E$29-LN($E$29)+($J$16*EXP($J$16/($D$14*$J$15))/(($D$14*$J$15^2)*(1-1.05*($J$17^1.26))))*'F(T,E)'!F40</f>
        <v>5.7055622001822313</v>
      </c>
      <c r="F60" s="17">
        <f>1/$F$29-LN($F$29)+($K$16*EXP($K$16/($D$14*$K$15))/(($D$14*$K$15^2)*(1-1.05*($K$17^1.26))))*'F(T,E)'!G40</f>
        <v>-4.7440025288578944</v>
      </c>
      <c r="G60" s="17">
        <f>1/$G$29-LN($G$29)+($L$16*EXP($L$16/($D$14*$L$15))/(($D$14*$L$15^2)*(1-1.05*($L$17^1.26))))*'F(T,E)'!H40</f>
        <v>-3.0425967685334441</v>
      </c>
      <c r="H60" s="17">
        <f>1/$H$29-LN($H$29)+($M$16*EXP($M$16/($D$14*$M$15))/(($D$14*$M$15^2)*(1-1.05*($M$17^1.26))))*'F(T,E)'!I40</f>
        <v>-11.512899488706596</v>
      </c>
      <c r="I60" s="17">
        <f>1/$I$29-LN($I$29)+($N$16*EXP($N$16/($D$14*$N$15))/(($D$14*$N$15^2)*(1-1.05*($N$17^1.26))))*'F(T,E)'!J40</f>
        <v>-3.9912056037818724</v>
      </c>
      <c r="J60" s="17">
        <f>1/$J$29-LN($J$29)+($O$16*EXP($O$16/($D$14*$O$15))/(($D$14*$O$15^2)*(1-1.05*($O$17^1.26))))*'F(T,E)'!K40</f>
        <v>-1.653440289946454</v>
      </c>
      <c r="K60" s="17">
        <f>1/$K$29-LN($K$29)+($P$16*EXP($P$16/($D$14*$P$15))/(($D$14*$P$15^2)*(1-1.05*($P$17^1.26))))*'F(T,E)'!L40</f>
        <v>0.30244346507127035</v>
      </c>
      <c r="L60" s="17">
        <f>1/$L$29-LN($L$29)+($Q$16*EXP($Q$16/($D$14*$Q$15))/(($D$14*$Q$15^2)*(1-1.05*($Q$17^1.26))))*'F(T,E)'!M40</f>
        <v>-1.182777726562221</v>
      </c>
      <c r="M60" s="17">
        <f>1/$M$29-LN($M$29)+($R$16*EXP($R$16/($D$14*$R$15))/(($D$14*$R$15^2)*(1-1.05*($R$17^1.26))))*'F(T,E)'!N40</f>
        <v>15.26562781861913</v>
      </c>
      <c r="N60" s="17">
        <f>1/$N$29-LN($N$29)+($S$16*EXP($S$16/($D$14*$S$15))/(($D$14*$S$15^2)*(1-1.05*($S$17^1.26))))*'F(T,E)'!O40</f>
        <v>-11.512905464783453</v>
      </c>
      <c r="O60" s="25"/>
      <c r="P60" s="20">
        <f t="shared" si="5"/>
        <v>4.2569979863558585</v>
      </c>
      <c r="Q60" s="20">
        <f t="shared" si="6"/>
        <v>8.6289583072819524E-3</v>
      </c>
      <c r="R60" s="20">
        <f t="shared" si="7"/>
        <v>4.5584773092969835E-2</v>
      </c>
      <c r="S60" s="20">
        <f t="shared" si="8"/>
        <v>1.0000159762314888E-5</v>
      </c>
      <c r="T60" s="20">
        <f t="shared" si="9"/>
        <v>1.8145171703887138E-2</v>
      </c>
      <c r="U60" s="20">
        <f t="shared" si="10"/>
        <v>0.16265900057484492</v>
      </c>
      <c r="V60" s="20">
        <f t="shared" si="11"/>
        <v>0.68328568795859757</v>
      </c>
      <c r="W60" s="20">
        <f t="shared" si="12"/>
        <v>0.24084091997428317</v>
      </c>
      <c r="X60" s="20">
        <f t="shared" si="13"/>
        <v>12.722273539311516</v>
      </c>
      <c r="Y60" s="20">
        <f t="shared" si="14"/>
        <v>1.0000100001367756E-5</v>
      </c>
      <c r="Z60" s="25"/>
      <c r="AA60" s="20">
        <f t="shared" si="16"/>
        <v>518.12157347017364</v>
      </c>
      <c r="AB60" s="20">
        <f t="shared" si="17"/>
        <v>7026.0396782022844</v>
      </c>
      <c r="AC60" s="20">
        <f t="shared" si="18"/>
        <v>148.37425321474547</v>
      </c>
      <c r="AD60" s="20">
        <f t="shared" si="19"/>
        <v>1.8952405628925926</v>
      </c>
      <c r="AE60" s="20">
        <f t="shared" si="20"/>
        <v>5.1682541379318991E-3</v>
      </c>
      <c r="AF60" s="20">
        <f t="shared" si="21"/>
        <v>1.857488851139697E-4</v>
      </c>
      <c r="AG60" s="20">
        <f t="shared" si="22"/>
        <v>1.3772534198972313E-7</v>
      </c>
      <c r="AH60" s="20">
        <f t="shared" si="23"/>
        <v>4.6786767121593515E-10</v>
      </c>
      <c r="AI60" s="20">
        <f t="shared" si="24"/>
        <v>0</v>
      </c>
      <c r="AJ60" s="20">
        <v>50</v>
      </c>
      <c r="AK60" s="25"/>
      <c r="AL60" s="20">
        <f t="shared" si="25"/>
        <v>7744.4360995913121</v>
      </c>
      <c r="AM60" s="25"/>
      <c r="AN60" s="20">
        <f t="shared" si="26"/>
        <v>30822.683126711687</v>
      </c>
      <c r="AO60" s="20">
        <f t="shared" si="27"/>
        <v>175.56390040868791</v>
      </c>
      <c r="AQ60" s="20">
        <f t="shared" si="28"/>
        <v>2.2901339252580804E-5</v>
      </c>
      <c r="AR60" s="20">
        <v>361</v>
      </c>
      <c r="AS60" s="20">
        <f t="shared" si="29"/>
        <v>0.221671591425111</v>
      </c>
    </row>
    <row r="61" spans="2:45" x14ac:dyDescent="0.3">
      <c r="B61" s="32">
        <v>90</v>
      </c>
      <c r="C61" s="32">
        <v>9090</v>
      </c>
      <c r="D61" s="7">
        <f t="shared" si="15"/>
        <v>363</v>
      </c>
      <c r="E61" s="17">
        <f>1/$E$29-LN($E$29)+($J$16*EXP($J$16/($D$14*$J$15))/(($D$14*$J$15^2)*(1-1.05*($J$17^1.26))))*'F(T,E)'!F41</f>
        <v>7.5501772981249688</v>
      </c>
      <c r="F61" s="17">
        <f>1/$F$29-LN($F$29)+($K$16*EXP($K$16/($D$14*$K$15))/(($D$14*$K$15^2)*(1-1.05*($K$17^1.26))))*'F(T,E)'!G41</f>
        <v>-4.7348631050040551</v>
      </c>
      <c r="G61" s="17">
        <f>1/$G$29-LN($G$29)+($L$16*EXP($L$16/($D$14*$L$15))/(($D$14*$L$15^2)*(1-1.05*($L$17^1.26))))*'F(T,E)'!H41</f>
        <v>-3.0424227602889329</v>
      </c>
      <c r="H61" s="17">
        <f>1/$H$29-LN($H$29)+($M$16*EXP($M$16/($D$14*$M$15))/(($D$14*$M$15^2)*(1-1.05*($M$17^1.26))))*'F(T,E)'!I41</f>
        <v>-11.512897387392291</v>
      </c>
      <c r="I61" s="17">
        <f>1/$I$29-LN($I$29)+($N$16*EXP($N$16/($D$14*$N$15))/(($D$14*$N$15^2)*(1-1.05*($N$17^1.26))))*'F(T,E)'!J41</f>
        <v>-3.9912056010968988</v>
      </c>
      <c r="J61" s="17">
        <f>1/$J$29-LN($J$29)+($O$16*EXP($O$16/($D$14*$O$15))/(($D$14*$O$15^2)*(1-1.05*($O$17^1.26))))*'F(T,E)'!K41</f>
        <v>-1.653440284858871</v>
      </c>
      <c r="K61" s="17">
        <f>1/$K$29-LN($K$29)+($P$16*EXP($P$16/($D$14*$P$15))/(($D$14*$P$15^2)*(1-1.05*($P$17^1.26))))*'F(T,E)'!L41</f>
        <v>0.30244346507435071</v>
      </c>
      <c r="L61" s="17">
        <f>1/$L$29-LN($L$29)+($Q$16*EXP($Q$16/($D$14*$Q$15))/(($D$14*$Q$15^2)*(1-1.05*($Q$17^1.26))))*'F(T,E)'!M41</f>
        <v>-1.182777726562205</v>
      </c>
      <c r="M61" s="17">
        <f>1/$M$29-LN($M$29)+($R$16*EXP($R$16/($D$14*$R$15))/(($D$14*$R$15^2)*(1-1.05*($R$17^1.26))))*'F(T,E)'!N41</f>
        <v>16.99937265530092</v>
      </c>
      <c r="N61" s="17">
        <f>1/$N$29-LN($N$29)+($S$16*EXP($S$16/($D$14*$S$15))/(($D$14*$S$15^2)*(1-1.05*($S$17^1.26))))*'F(T,E)'!O41</f>
        <v>-11.512905464770402</v>
      </c>
      <c r="O61" s="25"/>
      <c r="P61" s="20">
        <f t="shared" si="5"/>
        <v>5.7934494278303239</v>
      </c>
      <c r="Q61" s="20">
        <f t="shared" si="6"/>
        <v>8.7074995745991344E-3</v>
      </c>
      <c r="R61" s="20">
        <f t="shared" si="7"/>
        <v>4.5592360003032822E-2</v>
      </c>
      <c r="S61" s="20">
        <f t="shared" si="8"/>
        <v>1.0000180775605586E-5</v>
      </c>
      <c r="T61" s="20">
        <f t="shared" si="9"/>
        <v>1.8145171751738177E-2</v>
      </c>
      <c r="U61" s="20">
        <f t="shared" si="10"/>
        <v>0.1626590012866109</v>
      </c>
      <c r="V61" s="20">
        <f t="shared" si="11"/>
        <v>0.6832856879598479</v>
      </c>
      <c r="W61" s="20">
        <f t="shared" si="12"/>
        <v>0.24084091997428625</v>
      </c>
      <c r="X61" s="20">
        <f t="shared" si="13"/>
        <v>14.33655975445823</v>
      </c>
      <c r="Y61" s="20">
        <f t="shared" si="14"/>
        <v>1.0000100001498263E-5</v>
      </c>
      <c r="Z61" s="25"/>
      <c r="AA61" s="20">
        <f t="shared" si="16"/>
        <v>349.95586520048244</v>
      </c>
      <c r="AB61" s="20">
        <f t="shared" si="17"/>
        <v>8698.7289848537912</v>
      </c>
      <c r="AC61" s="20">
        <f t="shared" si="18"/>
        <v>188.81295651580095</v>
      </c>
      <c r="AD61" s="20">
        <f t="shared" si="19"/>
        <v>2.5340414527850523</v>
      </c>
      <c r="AE61" s="20">
        <f t="shared" si="20"/>
        <v>7.6307961441464071E-3</v>
      </c>
      <c r="AF61" s="20">
        <f t="shared" si="21"/>
        <v>2.5256285947055518E-4</v>
      </c>
      <c r="AG61" s="20">
        <f t="shared" si="22"/>
        <v>2.0620835207260017E-7</v>
      </c>
      <c r="AH61" s="20">
        <f t="shared" si="23"/>
        <v>7.1302953570668394E-10</v>
      </c>
      <c r="AI61" s="20">
        <f t="shared" si="24"/>
        <v>0</v>
      </c>
      <c r="AJ61" s="20">
        <v>50</v>
      </c>
      <c r="AK61" s="25"/>
      <c r="AL61" s="20">
        <f t="shared" si="25"/>
        <v>9290.039731588784</v>
      </c>
      <c r="AM61" s="25"/>
      <c r="AN61" s="20">
        <f t="shared" si="26"/>
        <v>40015.894214112741</v>
      </c>
      <c r="AO61" s="20">
        <f t="shared" si="27"/>
        <v>200.03973158878398</v>
      </c>
      <c r="AQ61" s="20">
        <f t="shared" si="28"/>
        <v>2.6094075982850763E-5</v>
      </c>
      <c r="AR61" s="20">
        <v>363</v>
      </c>
      <c r="AS61" s="20">
        <f t="shared" si="29"/>
        <v>-0.22006571131879427</v>
      </c>
    </row>
    <row r="62" spans="2:45" x14ac:dyDescent="0.3">
      <c r="B62" s="32">
        <v>91</v>
      </c>
      <c r="C62" s="32">
        <v>10392</v>
      </c>
      <c r="D62" s="7">
        <f t="shared" si="15"/>
        <v>364</v>
      </c>
      <c r="E62" s="17">
        <f>1/$E$29-LN($E$29)+($J$16*EXP($J$16/($D$14*$J$15))/(($D$14*$J$15^2)*(1-1.05*($J$17^1.26))))*'F(T,E)'!F42</f>
        <v>8.5980762440177578</v>
      </c>
      <c r="F62" s="17">
        <f>1/$F$29-LN($F$29)+($K$16*EXP($K$16/($D$14*$K$15))/(($D$14*$K$15^2)*(1-1.05*($K$17^1.26))))*'F(T,E)'!G42</f>
        <v>-4.7294745956799433</v>
      </c>
      <c r="G62" s="17">
        <f>1/$G$29-LN($G$29)+($L$16*EXP($L$16/($D$14*$L$15))/(($D$14*$L$15^2)*(1-1.05*($L$17^1.26))))*'F(T,E)'!H42</f>
        <v>-3.0423187662511344</v>
      </c>
      <c r="H62" s="17">
        <f>1/$H$29-LN($H$29)+($M$16*EXP($M$16/($D$14*$M$15))/(($D$14*$M$15^2)*(1-1.05*($M$17^1.26))))*'F(T,E)'!I42</f>
        <v>-11.51289608551971</v>
      </c>
      <c r="I62" s="17">
        <f>1/$I$29-LN($I$29)+($N$16*EXP($N$16/($D$14*$N$15))/(($D$14*$N$15^2)*(1-1.05*($N$17^1.26))))*'F(T,E)'!J42</f>
        <v>-3.9912055993092137</v>
      </c>
      <c r="J62" s="17">
        <f>1/$J$29-LN($J$29)+($O$16*EXP($O$16/($D$14*$O$15))/(($D$14*$O$15^2)*(1-1.05*($O$17^1.26))))*'F(T,E)'!K42</f>
        <v>-1.6534402816680476</v>
      </c>
      <c r="K62" s="17">
        <f>1/$K$29-LN($K$29)+($P$16*EXP($P$16/($D$14*$P$15))/(($D$14*$P$15^2)*(1-1.05*($P$17^1.26))))*'F(T,E)'!L42</f>
        <v>0.30244346507642245</v>
      </c>
      <c r="L62" s="17">
        <f>1/$L$29-LN($L$29)+($Q$16*EXP($Q$16/($D$14*$Q$15))/(($D$14*$Q$15^2)*(1-1.05*($Q$17^1.26))))*'F(T,E)'!M42</f>
        <v>-1.1827777265621942</v>
      </c>
      <c r="M62" s="17">
        <f>1/$M$29-LN($M$29)+($R$16*EXP($R$16/($D$14*$R$15))/(($D$14*$R$15^2)*(1-1.05*($R$17^1.26))))*'F(T,E)'!N42</f>
        <v>17.900759512187019</v>
      </c>
      <c r="N62" s="17">
        <f>1/$N$29-LN($N$29)+($S$16*EXP($S$16/($D$14*$S$15))/(($D$14*$S$15^2)*(1-1.05*($S$17^1.26))))*'F(T,E)'!O42</f>
        <v>-11.512905464762301</v>
      </c>
      <c r="O62" s="25"/>
      <c r="P62" s="20">
        <f t="shared" si="5"/>
        <v>6.6964923800706737</v>
      </c>
      <c r="Q62" s="20">
        <f t="shared" si="6"/>
        <v>8.7541383682639227E-3</v>
      </c>
      <c r="R62" s="20">
        <f t="shared" si="7"/>
        <v>4.5596894809618357E-2</v>
      </c>
      <c r="S62" s="20">
        <f t="shared" si="8"/>
        <v>1.0000193794445029E-5</v>
      </c>
      <c r="T62" s="20">
        <f t="shared" si="9"/>
        <v>1.8145171783597928E-2</v>
      </c>
      <c r="U62" s="20">
        <f t="shared" si="10"/>
        <v>0.16265900173301537</v>
      </c>
      <c r="V62" s="20">
        <f t="shared" si="11"/>
        <v>0.68328568796068889</v>
      </c>
      <c r="W62" s="20">
        <f t="shared" si="12"/>
        <v>0.24084091997428841</v>
      </c>
      <c r="X62" s="20">
        <f t="shared" si="13"/>
        <v>15.18073248789892</v>
      </c>
      <c r="Y62" s="20">
        <f t="shared" si="14"/>
        <v>1.0000100001579265E-5</v>
      </c>
      <c r="Z62" s="25"/>
      <c r="AA62" s="20">
        <f t="shared" si="16"/>
        <v>291.05594042296326</v>
      </c>
      <c r="AB62" s="20">
        <f t="shared" si="17"/>
        <v>9662.1613110424496</v>
      </c>
      <c r="AC62" s="20">
        <f t="shared" si="18"/>
        <v>212.77930927132752</v>
      </c>
      <c r="AD62" s="20">
        <f t="shared" si="19"/>
        <v>2.9266341898571588</v>
      </c>
      <c r="AE62" s="20">
        <f t="shared" si="20"/>
        <v>9.2573244861587928E-3</v>
      </c>
      <c r="AF62" s="20">
        <f t="shared" si="21"/>
        <v>2.941312828548031E-4</v>
      </c>
      <c r="AG62" s="20">
        <f t="shared" si="22"/>
        <v>2.5190111443457681E-7</v>
      </c>
      <c r="AH62" s="20">
        <f t="shared" si="23"/>
        <v>8.7871027412449461E-10</v>
      </c>
      <c r="AI62" s="20">
        <f t="shared" si="24"/>
        <v>0</v>
      </c>
      <c r="AJ62" s="20">
        <v>50</v>
      </c>
      <c r="AK62" s="25"/>
      <c r="AL62" s="20">
        <f t="shared" si="25"/>
        <v>10218.932746635144</v>
      </c>
      <c r="AM62" s="25"/>
      <c r="AN62" s="20">
        <f t="shared" si="26"/>
        <v>29952.274187255185</v>
      </c>
      <c r="AO62" s="20">
        <f t="shared" si="27"/>
        <v>173.06725336485579</v>
      </c>
      <c r="AQ62" s="20">
        <f t="shared" si="28"/>
        <v>2.2575665461945863E-5</v>
      </c>
      <c r="AR62" s="20">
        <v>364</v>
      </c>
      <c r="AS62" s="20">
        <f t="shared" si="29"/>
        <v>0.1665389274103693</v>
      </c>
    </row>
    <row r="63" spans="2:45" x14ac:dyDescent="0.3">
      <c r="B63" s="32">
        <v>93</v>
      </c>
      <c r="C63" s="32">
        <v>11978</v>
      </c>
      <c r="D63" s="7">
        <f t="shared" si="15"/>
        <v>366</v>
      </c>
      <c r="E63" s="17">
        <f>1/$E$29-LN($E$29)+($J$16*EXP($J$16/($D$14*$J$15))/(($D$14*$J$15^2)*(1-1.05*($J$17^1.26))))*'F(T,E)'!F43</f>
        <v>10.980798806168561</v>
      </c>
      <c r="F63" s="17">
        <f>1/$F$29-LN($F$29)+($K$16*EXP($K$16/($D$14*$K$15))/(($D$14*$K$15^2)*(1-1.05*($K$17^1.26))))*'F(T,E)'!G43</f>
        <v>-4.7167471367348632</v>
      </c>
      <c r="G63" s="17">
        <f>1/$G$29-LN($G$29)+($L$16*EXP($L$16/($D$14*$L$15))/(($D$14*$L$15^2)*(1-1.05*($L$17^1.26))))*'F(T,E)'!H43</f>
        <v>-3.0420696830539855</v>
      </c>
      <c r="H63" s="17">
        <f>1/$H$29-LN($H$29)+($M$16*EXP($M$16/($D$14*$M$15))/(($D$14*$M$15^2)*(1-1.05*($M$17^1.26))))*'F(T,E)'!I43</f>
        <v>-11.512892848868288</v>
      </c>
      <c r="I63" s="17">
        <f>1/$I$29-LN($I$29)+($N$16*EXP($N$16/($D$14*$N$15))/(($D$14*$N$15^2)*(1-1.05*($N$17^1.26))))*'F(T,E)'!J43</f>
        <v>-3.9912055945163512</v>
      </c>
      <c r="J63" s="17">
        <f>1/$J$29-LN($J$29)+($O$16*EXP($O$16/($D$14*$O$15))/(($D$14*$O$15^2)*(1-1.05*($O$17^1.26))))*'F(T,E)'!K43</f>
        <v>-1.6534402736334934</v>
      </c>
      <c r="K63" s="17">
        <f>1/$K$29-LN($K$29)+($P$16*EXP($P$16/($D$14*$P$15))/(($D$14*$P$15^2)*(1-1.05*($P$17^1.26))))*'F(T,E)'!L43</f>
        <v>0.30244346508203646</v>
      </c>
      <c r="L63" s="17">
        <f>1/$L$29-LN($L$29)+($Q$16*EXP($Q$16/($D$14*$Q$15))/(($D$14*$Q$15^2)*(1-1.05*($Q$17^1.26))))*'F(T,E)'!M43</f>
        <v>-1.1827777265621644</v>
      </c>
      <c r="M63" s="17">
        <f>1/$M$29-LN($M$29)+($R$16*EXP($R$16/($D$14*$R$15))/(($D$14*$R$15^2)*(1-1.05*($R$17^1.26))))*'F(T,E)'!N43</f>
        <v>19.774941418761149</v>
      </c>
      <c r="N63" s="17">
        <f>1/$N$29-LN($N$29)+($S$16*EXP($S$16/($D$14*$S$15))/(($D$14*$S$15^2)*(1-1.05*($S$17^1.26))))*'F(T,E)'!O43</f>
        <v>-11.512905464742127</v>
      </c>
      <c r="O63" s="25"/>
      <c r="P63" s="20">
        <f t="shared" si="5"/>
        <v>8.8054302061162666</v>
      </c>
      <c r="Q63" s="20">
        <f t="shared" si="6"/>
        <v>8.8652829730823893E-3</v>
      </c>
      <c r="R63" s="20">
        <f t="shared" si="7"/>
        <v>4.5607758187541737E-2</v>
      </c>
      <c r="S63" s="20">
        <f t="shared" si="8"/>
        <v>1.0000226161315194E-5</v>
      </c>
      <c r="T63" s="20">
        <f t="shared" si="9"/>
        <v>1.814517186901533E-2</v>
      </c>
      <c r="U63" s="20">
        <f t="shared" si="10"/>
        <v>0.16265900285707025</v>
      </c>
      <c r="V63" s="20">
        <f t="shared" si="11"/>
        <v>0.68328568796296774</v>
      </c>
      <c r="W63" s="20">
        <f t="shared" si="12"/>
        <v>0.24084091997429413</v>
      </c>
      <c r="X63" s="20">
        <f t="shared" si="13"/>
        <v>16.944970362731045</v>
      </c>
      <c r="Y63" s="20">
        <f t="shared" si="14"/>
        <v>1.0000100001781006E-5</v>
      </c>
      <c r="Z63" s="25"/>
      <c r="AA63" s="20">
        <f t="shared" si="16"/>
        <v>205.79904310303229</v>
      </c>
      <c r="AB63" s="20">
        <f t="shared" si="17"/>
        <v>11876.215000926992</v>
      </c>
      <c r="AC63" s="20">
        <f t="shared" si="18"/>
        <v>269.68405282695801</v>
      </c>
      <c r="AD63" s="20">
        <f t="shared" si="19"/>
        <v>3.8945037305926791</v>
      </c>
      <c r="AE63" s="20">
        <f t="shared" si="20"/>
        <v>1.3581292120804897E-2</v>
      </c>
      <c r="AF63" s="20">
        <f t="shared" si="21"/>
        <v>3.9792378265381318E-4</v>
      </c>
      <c r="AG63" s="20">
        <f t="shared" si="22"/>
        <v>3.7467333196253766E-7</v>
      </c>
      <c r="AH63" s="20">
        <f t="shared" si="23"/>
        <v>1.3299476973795262E-9</v>
      </c>
      <c r="AI63" s="20">
        <f t="shared" si="24"/>
        <v>0</v>
      </c>
      <c r="AJ63" s="20">
        <v>50</v>
      </c>
      <c r="AK63" s="25"/>
      <c r="AL63" s="20">
        <f t="shared" si="25"/>
        <v>12405.606580179483</v>
      </c>
      <c r="AM63" s="25"/>
      <c r="AN63" s="20">
        <f t="shared" si="26"/>
        <v>182847.38741279262</v>
      </c>
      <c r="AO63" s="20">
        <f t="shared" si="27"/>
        <v>427.60658017948299</v>
      </c>
      <c r="AQ63" s="20">
        <f t="shared" si="28"/>
        <v>5.5778912045870861E-5</v>
      </c>
      <c r="AR63" s="20">
        <v>366</v>
      </c>
      <c r="AS63" s="20">
        <f t="shared" si="29"/>
        <v>-0.35699330454122813</v>
      </c>
    </row>
    <row r="64" spans="2:45" x14ac:dyDescent="0.3">
      <c r="B64" s="32">
        <v>94</v>
      </c>
      <c r="C64" s="32">
        <v>13642</v>
      </c>
      <c r="D64" s="7">
        <f t="shared" si="15"/>
        <v>367</v>
      </c>
      <c r="E64" s="17">
        <f>1/$E$29-LN($E$29)+($J$16*EXP($J$16/($D$14*$J$15))/(($D$14*$J$15^2)*(1-1.05*($J$17^1.26))))*'F(T,E)'!F44</f>
        <v>12.331586478208521</v>
      </c>
      <c r="F64" s="17">
        <f>1/$F$29-LN($F$29)+($K$16*EXP($K$16/($D$14*$K$15))/(($D$14*$K$15^2)*(1-1.05*($K$17^1.26))))*'F(T,E)'!G44</f>
        <v>-4.7092631601100132</v>
      </c>
      <c r="G64" s="17">
        <f>1/$G$29-LN($G$29)+($L$16*EXP($L$16/($D$14*$L$15))/(($D$14*$L$15^2)*(1-1.05*($L$17^1.26))))*'F(T,E)'!H44</f>
        <v>-3.0419212503323889</v>
      </c>
      <c r="H64" s="17">
        <f>1/$H$29-LN($H$29)+($M$16*EXP($M$16/($D$14*$M$15))/(($D$14*$M$15^2)*(1-1.05*($M$17^1.26))))*'F(T,E)'!I44</f>
        <v>-11.512890850524148</v>
      </c>
      <c r="I64" s="17">
        <f>1/$I$29-LN($I$29)+($N$16*EXP($N$16/($D$14*$N$15))/(($D$14*$N$15^2)*(1-1.05*($N$17^1.26))))*'F(T,E)'!J44</f>
        <v>-3.9912055913398676</v>
      </c>
      <c r="J64" s="17">
        <f>1/$J$29-LN($J$29)+($O$16*EXP($O$16/($D$14*$O$15))/(($D$14*$O$15^2)*(1-1.05*($O$17^1.26))))*'F(T,E)'!K44</f>
        <v>-1.6534402686127816</v>
      </c>
      <c r="K64" s="17">
        <f>1/$K$29-LN($K$29)+($P$16*EXP($P$16/($D$14*$P$15))/(($D$14*$P$15^2)*(1-1.05*($P$17^1.26))))*'F(T,E)'!L44</f>
        <v>0.30244346508579434</v>
      </c>
      <c r="L64" s="17">
        <f>1/$L$29-LN($L$29)+($Q$16*EXP($Q$16/($D$14*$Q$15))/(($D$14*$Q$15^2)*(1-1.05*($Q$17^1.26))))*'F(T,E)'!M44</f>
        <v>-1.1827777265621442</v>
      </c>
      <c r="M64" s="17">
        <f>1/$M$29-LN($M$29)+($R$16*EXP($R$16/($D$14*$R$15))/(($D$14*$R$15^2)*(1-1.05*($R$17^1.26))))*'F(T,E)'!N44</f>
        <v>20.748708036160057</v>
      </c>
      <c r="N64" s="17">
        <f>1/$N$29-LN($N$29)+($S$16*EXP($S$16/($D$14*$S$15))/(($D$14*$S$15^2)*(1-1.05*($S$17^1.26))))*'F(T,E)'!O44</f>
        <v>-11.512905464729652</v>
      </c>
      <c r="O64" s="25"/>
      <c r="P64" s="20">
        <f t="shared" si="5"/>
        <v>10.026368050441771</v>
      </c>
      <c r="Q64" s="20">
        <f t="shared" si="6"/>
        <v>8.9312898896101427E-3</v>
      </c>
      <c r="R64" s="20">
        <f t="shared" si="7"/>
        <v>4.5614233027831623E-2</v>
      </c>
      <c r="S64" s="20">
        <f t="shared" si="8"/>
        <v>1.0000246145028677E-5</v>
      </c>
      <c r="T64" s="20">
        <f t="shared" si="9"/>
        <v>1.8145171925625959E-2</v>
      </c>
      <c r="U64" s="20">
        <f t="shared" si="10"/>
        <v>0.16265900355948085</v>
      </c>
      <c r="V64" s="20">
        <f t="shared" si="11"/>
        <v>0.68328568796449318</v>
      </c>
      <c r="W64" s="20">
        <f t="shared" si="12"/>
        <v>0.24084091997429807</v>
      </c>
      <c r="X64" s="20">
        <f t="shared" si="13"/>
        <v>17.865818717707469</v>
      </c>
      <c r="Y64" s="20">
        <f t="shared" si="14"/>
        <v>1.0000100001905761E-5</v>
      </c>
      <c r="Z64" s="25"/>
      <c r="AA64" s="20">
        <f t="shared" si="16"/>
        <v>174.80579009691797</v>
      </c>
      <c r="AB64" s="20">
        <f t="shared" si="17"/>
        <v>13140.28067592049</v>
      </c>
      <c r="AC64" s="20">
        <f t="shared" si="18"/>
        <v>303.3099983117325</v>
      </c>
      <c r="AD64" s="20">
        <f t="shared" si="19"/>
        <v>4.4873158617759268</v>
      </c>
      <c r="AE64" s="20">
        <f t="shared" si="20"/>
        <v>1.6424363790990524E-2</v>
      </c>
      <c r="AF64" s="20">
        <f t="shared" si="21"/>
        <v>4.6226685573121378E-4</v>
      </c>
      <c r="AG64" s="20">
        <f t="shared" si="22"/>
        <v>4.5620433150190059E-7</v>
      </c>
      <c r="AH64" s="20">
        <f t="shared" si="23"/>
        <v>1.6334029716938615E-9</v>
      </c>
      <c r="AI64" s="20">
        <f t="shared" si="24"/>
        <v>0</v>
      </c>
      <c r="AJ64" s="20">
        <v>50</v>
      </c>
      <c r="AK64" s="25"/>
      <c r="AL64" s="20">
        <f t="shared" si="25"/>
        <v>13672.900667279402</v>
      </c>
      <c r="AM64" s="25"/>
      <c r="AN64" s="20">
        <f t="shared" si="26"/>
        <v>954.85123831231249</v>
      </c>
      <c r="AO64" s="20">
        <f t="shared" si="27"/>
        <v>30.900667279402114</v>
      </c>
      <c r="AQ64" s="20">
        <f t="shared" si="28"/>
        <v>4.0308210449264517E-6</v>
      </c>
      <c r="AR64" s="20">
        <v>367</v>
      </c>
      <c r="AS64" s="20">
        <f t="shared" si="29"/>
        <v>-2.2651126872454269E-2</v>
      </c>
    </row>
    <row r="65" spans="2:45" x14ac:dyDescent="0.3">
      <c r="B65" s="32">
        <v>95</v>
      </c>
      <c r="C65" s="32">
        <v>15786</v>
      </c>
      <c r="D65" s="7">
        <f t="shared" si="15"/>
        <v>368</v>
      </c>
      <c r="E65" s="17">
        <f>1/$E$29-LN($E$29)+($J$16*EXP($J$16/($D$14*$J$15))/(($D$14*$J$15^2)*(1-1.05*($J$17^1.26))))*'F(T,E)'!F45</f>
        <v>13.800318941537277</v>
      </c>
      <c r="F65" s="17">
        <f>1/$F$29-LN($F$29)+($K$16*EXP($K$16/($D$14*$K$15))/(($D$14*$K$15^2)*(1-1.05*($K$17^1.26))))*'F(T,E)'!G45</f>
        <v>-4.7009230975915353</v>
      </c>
      <c r="G65" s="17">
        <f>1/$G$29-LN($G$29)+($L$16*EXP($L$16/($D$14*$L$15))/(($D$14*$L$15^2)*(1-1.05*($L$17^1.26))))*'F(T,E)'!H45</f>
        <v>-3.0417543427686913</v>
      </c>
      <c r="H65" s="17">
        <f>1/$H$29-LN($H$29)+($M$16*EXP($M$16/($D$14*$M$15))/(($D$14*$M$15^2)*(1-1.05*($M$17^1.26))))*'F(T,E)'!I45</f>
        <v>-11.512888548928681</v>
      </c>
      <c r="I65" s="17">
        <f>1/$I$29-LN($I$29)+($N$16*EXP($N$16/($D$14*$N$15))/(($D$14*$N$15^2)*(1-1.05*($N$17^1.26))))*'F(T,E)'!J45</f>
        <v>-3.9912055875005019</v>
      </c>
      <c r="J65" s="17">
        <f>1/$J$29-LN($J$29)+($O$16*EXP($O$16/($D$14*$O$15))/(($D$14*$O$15^2)*(1-1.05*($O$17^1.26))))*'F(T,E)'!K45</f>
        <v>-1.6534402627827365</v>
      </c>
      <c r="K65" s="17">
        <f>1/$K$29-LN($K$29)+($P$16*EXP($P$16/($D$14*$P$15))/(($D$14*$P$15^2)*(1-1.05*($P$17^1.26))))*'F(T,E)'!L45</f>
        <v>0.30244346509036735</v>
      </c>
      <c r="L65" s="17">
        <f>1/$L$29-LN($L$29)+($Q$16*EXP($Q$16/($D$14*$Q$15))/(($D$14*$Q$15^2)*(1-1.05*($Q$17^1.26))))*'F(T,E)'!M45</f>
        <v>-1.1827777265621193</v>
      </c>
      <c r="M65" s="17">
        <f>1/$M$29-LN($M$29)+($R$16*EXP($R$16/($D$14*$R$15))/(($D$14*$R$15^2)*(1-1.05*($R$17^1.26))))*'F(T,E)'!N45</f>
        <v>21.747583909585988</v>
      </c>
      <c r="N65" s="17">
        <f>1/$N$29-LN($N$29)+($S$16*EXP($S$16/($D$14*$S$15))/(($D$14*$S$15^2)*(1-1.05*($S$17^1.26))))*'F(T,E)'!O45</f>
        <v>-11.512905464715264</v>
      </c>
      <c r="O65" s="25"/>
      <c r="P65" s="20">
        <f t="shared" si="5"/>
        <v>11.369393938736703</v>
      </c>
      <c r="Q65" s="20">
        <f t="shared" si="6"/>
        <v>9.0054212771312949E-3</v>
      </c>
      <c r="R65" s="20">
        <f t="shared" si="7"/>
        <v>4.5621514816305053E-2</v>
      </c>
      <c r="S65" s="20">
        <f t="shared" si="8"/>
        <v>1.0000269161346193E-5</v>
      </c>
      <c r="T65" s="20">
        <f t="shared" si="9"/>
        <v>1.8145171994050337E-2</v>
      </c>
      <c r="U65" s="20">
        <f t="shared" si="10"/>
        <v>0.16265900437511926</v>
      </c>
      <c r="V65" s="20">
        <f t="shared" si="11"/>
        <v>0.68328568796634948</v>
      </c>
      <c r="W65" s="20">
        <f t="shared" si="12"/>
        <v>0.24084091997430288</v>
      </c>
      <c r="X65" s="20">
        <f t="shared" si="13"/>
        <v>18.813033983001255</v>
      </c>
      <c r="Y65" s="20">
        <f t="shared" si="14"/>
        <v>1.0000100002049646E-5</v>
      </c>
      <c r="Z65" s="25"/>
      <c r="AA65" s="20">
        <f t="shared" si="16"/>
        <v>149.38925098117645</v>
      </c>
      <c r="AB65" s="20">
        <f t="shared" si="17"/>
        <v>14517.875839658649</v>
      </c>
      <c r="AC65" s="20">
        <f t="shared" si="18"/>
        <v>340.90430397996454</v>
      </c>
      <c r="AD65" s="20">
        <f t="shared" si="19"/>
        <v>5.1663829424705989</v>
      </c>
      <c r="AE65" s="20">
        <f t="shared" si="20"/>
        <v>1.9842089001277582E-2</v>
      </c>
      <c r="AF65" s="20">
        <f t="shared" si="21"/>
        <v>5.3657674861990856E-4</v>
      </c>
      <c r="AG65" s="20">
        <f t="shared" si="22"/>
        <v>5.5488286834251935E-7</v>
      </c>
      <c r="AH65" s="20">
        <f t="shared" si="23"/>
        <v>2.0038583509816422E-9</v>
      </c>
      <c r="AI65" s="20">
        <f t="shared" si="24"/>
        <v>0</v>
      </c>
      <c r="AJ65" s="20">
        <v>50</v>
      </c>
      <c r="AK65" s="25"/>
      <c r="AL65" s="20">
        <f t="shared" si="25"/>
        <v>15063.356156784897</v>
      </c>
      <c r="AM65" s="25"/>
      <c r="AN65" s="20">
        <f t="shared" si="26"/>
        <v>522214.12413669378</v>
      </c>
      <c r="AO65" s="20">
        <f t="shared" si="27"/>
        <v>722.64384321510261</v>
      </c>
      <c r="AQ65" s="20">
        <f t="shared" si="28"/>
        <v>9.4264890297680539E-5</v>
      </c>
      <c r="AR65" s="20">
        <v>368</v>
      </c>
      <c r="AS65" s="20">
        <f t="shared" si="29"/>
        <v>0.45777514456803664</v>
      </c>
    </row>
    <row r="66" spans="2:45" x14ac:dyDescent="0.3">
      <c r="B66" s="32">
        <v>97</v>
      </c>
      <c r="C66" s="32">
        <v>18110</v>
      </c>
      <c r="D66" s="7">
        <f t="shared" si="15"/>
        <v>370</v>
      </c>
      <c r="E66" s="17">
        <f>1/$E$29-LN($E$29)+($J$16*EXP($J$16/($D$14*$J$15))/(($D$14*$J$15^2)*(1-1.05*($J$17^1.26))))*'F(T,E)'!F46</f>
        <v>17.130625194855231</v>
      </c>
      <c r="F66" s="17">
        <f>1/$F$29-LN($F$29)+($K$16*EXP($K$16/($D$14*$K$15))/(($D$14*$K$15^2)*(1-1.05*($K$17^1.26))))*'F(T,E)'!G46</f>
        <v>-4.6812954712766679</v>
      </c>
      <c r="G66" s="17">
        <f>1/$G$29-LN($G$29)+($L$16*EXP($L$16/($D$14*$L$15))/(($D$14*$L$15^2)*(1-1.05*($L$17^1.26))))*'F(T,E)'!H46</f>
        <v>-3.041356140098554</v>
      </c>
      <c r="H66" s="17">
        <f>1/$H$29-LN($H$29)+($M$16*EXP($M$16/($D$14*$M$15))/(($D$14*$M$15^2)*(1-1.05*($M$17^1.26))))*'F(T,E)'!I46</f>
        <v>-11.512882853953903</v>
      </c>
      <c r="I66" s="17">
        <f>1/$I$29-LN($I$29)+($N$16*EXP($N$16/($D$14*$N$15))/(($D$14*$N$15^2)*(1-1.05*($N$17^1.26))))*'F(T,E)'!J46</f>
        <v>-3.9912055772729311</v>
      </c>
      <c r="J66" s="17">
        <f>1/$J$29-LN($J$29)+($O$16*EXP($O$16/($D$14*$O$15))/(($D$14*$O$15^2)*(1-1.05*($O$17^1.26))))*'F(T,E)'!K46</f>
        <v>-1.6534402481763057</v>
      </c>
      <c r="K66" s="17">
        <f>1/$K$29-LN($K$29)+($P$16*EXP($P$16/($D$14*$P$15))/(($D$14*$P$15^2)*(1-1.05*($P$17^1.26))))*'F(T,E)'!L46</f>
        <v>0.30244346510267711</v>
      </c>
      <c r="L66" s="17">
        <f>1/$L$29-LN($L$29)+($Q$16*EXP($Q$16/($D$14*$Q$15))/(($D$14*$Q$15^2)*(1-1.05*($Q$17^1.26))))*'F(T,E)'!M46</f>
        <v>-1.1827777265620516</v>
      </c>
      <c r="M66" s="17">
        <f>1/$M$29-LN($M$29)+($R$16*EXP($R$16/($D$14*$R$15))/(($D$14*$R$15^2)*(1-1.05*($R$17^1.26))))*'F(T,E)'!N46</f>
        <v>23.822680104238547</v>
      </c>
      <c r="N66" s="17">
        <f>1/$N$29-LN($N$29)+($S$16*EXP($S$16/($D$14*$S$15))/(($D$14*$S$15^2)*(1-1.05*($S$17^1.26))))*'F(T,E)'!O46</f>
        <v>-11.512905464679601</v>
      </c>
      <c r="O66" s="25"/>
      <c r="P66" s="20">
        <f t="shared" si="5"/>
        <v>14.45928820447617</v>
      </c>
      <c r="Q66" s="20">
        <f t="shared" si="6"/>
        <v>9.1822980873681077E-3</v>
      </c>
      <c r="R66" s="20">
        <f t="shared" si="7"/>
        <v>4.5638891962221068E-2</v>
      </c>
      <c r="S66" s="20">
        <f t="shared" si="8"/>
        <v>1.0000326112219479E-5</v>
      </c>
      <c r="T66" s="20">
        <f t="shared" si="9"/>
        <v>1.8145172176323984E-2</v>
      </c>
      <c r="U66" s="20">
        <f t="shared" si="10"/>
        <v>0.16265900641859674</v>
      </c>
      <c r="V66" s="20">
        <f t="shared" si="11"/>
        <v>0.68328568797134626</v>
      </c>
      <c r="W66" s="20">
        <f t="shared" si="12"/>
        <v>0.24084091997431606</v>
      </c>
      <c r="X66" s="20">
        <f t="shared" si="13"/>
        <v>20.788290245045989</v>
      </c>
      <c r="Y66" s="20">
        <f t="shared" si="14"/>
        <v>1.0000100002406266E-5</v>
      </c>
      <c r="Z66" s="25"/>
      <c r="AA66" s="20">
        <f t="shared" si="16"/>
        <v>110.92431437272796</v>
      </c>
      <c r="AB66" s="20">
        <f t="shared" si="17"/>
        <v>17638.397204828609</v>
      </c>
      <c r="AC66" s="20">
        <f t="shared" si="18"/>
        <v>429.80554341839553</v>
      </c>
      <c r="AD66" s="20">
        <f t="shared" si="19"/>
        <v>6.8327192795607807</v>
      </c>
      <c r="AE66" s="20">
        <f t="shared" si="20"/>
        <v>2.8870462057384135E-2</v>
      </c>
      <c r="AF66" s="20">
        <f t="shared" si="21"/>
        <v>7.2120746348708614E-4</v>
      </c>
      <c r="AG66" s="20">
        <f t="shared" si="22"/>
        <v>8.1828781169383254E-7</v>
      </c>
      <c r="AH66" s="20">
        <f t="shared" si="23"/>
        <v>3.0059018833651823E-9</v>
      </c>
      <c r="AI66" s="20">
        <f t="shared" si="24"/>
        <v>0</v>
      </c>
      <c r="AJ66" s="20">
        <v>50</v>
      </c>
      <c r="AK66" s="25"/>
      <c r="AL66" s="20">
        <f t="shared" si="25"/>
        <v>18235.989374390108</v>
      </c>
      <c r="AM66" s="25"/>
      <c r="AN66" s="20">
        <f t="shared" si="26"/>
        <v>15873.322459210909</v>
      </c>
      <c r="AO66" s="20">
        <f t="shared" si="27"/>
        <v>125.98937439010842</v>
      </c>
      <c r="AQ66" s="20">
        <f t="shared" si="28"/>
        <v>1.6434616674678904E-5</v>
      </c>
      <c r="AR66" s="20">
        <v>370</v>
      </c>
      <c r="AS66" s="20">
        <f t="shared" si="29"/>
        <v>-6.9568953280015694E-2</v>
      </c>
    </row>
    <row r="67" spans="2:45" x14ac:dyDescent="0.3">
      <c r="B67" s="32">
        <v>99</v>
      </c>
      <c r="C67" s="32">
        <v>20556</v>
      </c>
      <c r="D67" s="7">
        <f t="shared" si="15"/>
        <v>372</v>
      </c>
      <c r="E67" s="17">
        <f>1/$E$29-LN($E$29)+($J$16*EXP($J$16/($D$14*$J$15))/(($D$14*$J$15^2)*(1-1.05*($J$17^1.26))))*'F(T,E)'!F47</f>
        <v>21.057193962863671</v>
      </c>
      <c r="F67" s="17">
        <f>1/$F$29-LN($F$29)+($K$16*EXP($K$16/($D$14*$K$15))/(($D$14*$K$15^2)*(1-1.05*($K$17^1.26))))*'F(T,E)'!G47</f>
        <v>-4.6570064747457147</v>
      </c>
      <c r="G67" s="17">
        <f>1/$G$29-LN($G$29)+($L$16*EXP($L$16/($D$14*$L$15))/(($D$14*$L$15^2)*(1-1.05*($L$17^1.26))))*'F(T,E)'!H47</f>
        <v>-3.0408545643702136</v>
      </c>
      <c r="H67" s="17">
        <f>1/$H$29-LN($H$29)+($M$16*EXP($M$16/($D$14*$M$15))/(($D$14*$M$15^2)*(1-1.05*($M$17^1.26))))*'F(T,E)'!I47</f>
        <v>-11.51287533416092</v>
      </c>
      <c r="I67" s="17">
        <f>1/$I$29-LN($I$29)+($N$16*EXP($N$16/($D$14*$N$15))/(($D$14*$N$15^2)*(1-1.05*($N$17^1.26))))*'F(T,E)'!J47</f>
        <v>-3.9912055624238141</v>
      </c>
      <c r="J67" s="17">
        <f>1/$J$29-LN($J$29)+($O$16*EXP($O$16/($D$14*$O$15))/(($D$14*$O$15^2)*(1-1.05*($O$17^1.26))))*'F(T,E)'!K47</f>
        <v>-1.6534402285771757</v>
      </c>
      <c r="K67" s="17">
        <f>1/$K$29-LN($K$29)+($P$16*EXP($P$16/($D$14*$P$15))/(($D$14*$P$15^2)*(1-1.05*($P$17^1.26))))*'F(T,E)'!L47</f>
        <v>0.30244346512078979</v>
      </c>
      <c r="L67" s="17">
        <f>1/$L$29-LN($L$29)+($Q$16*EXP($Q$16/($D$14*$Q$15))/(($D$14*$Q$15^2)*(1-1.05*($Q$17^1.26))))*'F(T,E)'!M47</f>
        <v>-1.1827777265619501</v>
      </c>
      <c r="M67" s="17">
        <f>1/$M$29-LN($M$29)+($R$16*EXP($R$16/($D$14*$R$15))/(($D$14*$R$15^2)*(1-1.05*($R$17^1.26))))*'F(T,E)'!N47</f>
        <v>26.004330936188357</v>
      </c>
      <c r="N67" s="17">
        <f>1/$N$29-LN($N$29)+($S$16*EXP($S$16/($D$14*$S$15))/(($D$14*$S$15^2)*(1-1.05*($S$17^1.26))))*'F(T,E)'!O47</f>
        <v>-11.512905464632402</v>
      </c>
      <c r="O67" s="25"/>
      <c r="P67" s="20">
        <f t="shared" si="5"/>
        <v>18.158078409731374</v>
      </c>
      <c r="Q67" s="20">
        <f t="shared" si="6"/>
        <v>9.4059536013717387E-3</v>
      </c>
      <c r="R67" s="20">
        <f t="shared" si="7"/>
        <v>4.5660789208059542E-2</v>
      </c>
      <c r="S67" s="20">
        <f t="shared" si="8"/>
        <v>1.0000401312132313E-5</v>
      </c>
      <c r="T67" s="20">
        <f t="shared" si="9"/>
        <v>1.8145172440961869E-2</v>
      </c>
      <c r="U67" s="20">
        <f t="shared" si="10"/>
        <v>0.16265900916056583</v>
      </c>
      <c r="V67" s="20">
        <f t="shared" si="11"/>
        <v>0.6832856879786986</v>
      </c>
      <c r="W67" s="20">
        <f t="shared" si="12"/>
        <v>0.24084091997433574</v>
      </c>
      <c r="X67" s="20">
        <f t="shared" si="13"/>
        <v>22.874316217600313</v>
      </c>
      <c r="Y67" s="20">
        <f t="shared" si="14"/>
        <v>1.0000100002878263E-5</v>
      </c>
      <c r="Z67" s="25"/>
      <c r="AA67" s="20">
        <f t="shared" si="16"/>
        <v>83.970291367467169</v>
      </c>
      <c r="AB67" s="20">
        <f t="shared" si="17"/>
        <v>21280.905279118047</v>
      </c>
      <c r="AC67" s="20">
        <f t="shared" si="18"/>
        <v>540.48386149420082</v>
      </c>
      <c r="AD67" s="20">
        <f t="shared" si="19"/>
        <v>9.0093672834361129</v>
      </c>
      <c r="AE67" s="20">
        <f t="shared" si="20"/>
        <v>4.1837798395416619E-2</v>
      </c>
      <c r="AF67" s="20">
        <f t="shared" si="21"/>
        <v>9.6629030669715559E-4</v>
      </c>
      <c r="AG67" s="20">
        <f t="shared" si="22"/>
        <v>1.2017020961330833E-6</v>
      </c>
      <c r="AH67" s="20">
        <f t="shared" si="23"/>
        <v>4.4894066981626791E-9</v>
      </c>
      <c r="AI67" s="20">
        <f t="shared" si="24"/>
        <v>0</v>
      </c>
      <c r="AJ67" s="20">
        <v>50</v>
      </c>
      <c r="AK67" s="25"/>
      <c r="AL67" s="20">
        <f t="shared" si="25"/>
        <v>21964.411604558045</v>
      </c>
      <c r="AM67" s="25"/>
      <c r="AN67" s="20">
        <f t="shared" si="26"/>
        <v>1983623.2478537667</v>
      </c>
      <c r="AO67" s="20">
        <f t="shared" si="27"/>
        <v>1408.4116045580449</v>
      </c>
      <c r="AQ67" s="20">
        <f t="shared" si="28"/>
        <v>1.8371949978424681E-4</v>
      </c>
      <c r="AR67" s="20">
        <v>372</v>
      </c>
      <c r="AS67" s="20">
        <f t="shared" si="29"/>
        <v>-0.68515839879258855</v>
      </c>
    </row>
    <row r="68" spans="2:45" x14ac:dyDescent="0.3">
      <c r="B68" s="32">
        <v>100</v>
      </c>
      <c r="C68" s="32">
        <v>23678</v>
      </c>
      <c r="D68" s="7">
        <f t="shared" si="15"/>
        <v>373</v>
      </c>
      <c r="E68" s="17">
        <f>1/$E$29-LN($E$29)+($J$16*EXP($J$16/($D$14*$J$15))/(($D$14*$J$15^2)*(1-1.05*($J$17^1.26))))*'F(T,E)'!F48</f>
        <v>23.274323500142852</v>
      </c>
      <c r="F68" s="17">
        <f>1/$F$29-LN($F$29)+($K$16*EXP($K$16/($D$14*$K$15))/(($D$14*$K$15^2)*(1-1.05*($K$17^1.26))))*'F(T,E)'!G48</f>
        <v>-4.6427974363456972</v>
      </c>
      <c r="G68" s="17">
        <f>1/$G$29-LN($G$29)+($L$16*EXP($L$16/($D$14*$L$15))/(($D$14*$L$15^2)*(1-1.05*($L$17^1.26))))*'F(T,E)'!H48</f>
        <v>-3.0405573264806973</v>
      </c>
      <c r="H68" s="17">
        <f>1/$H$29-LN($H$29)+($M$16*EXP($M$16/($D$14*$M$15))/(($D$14*$M$15^2)*(1-1.05*($M$17^1.26))))*'F(T,E)'!I48</f>
        <v>-11.512870722251972</v>
      </c>
      <c r="I68" s="17">
        <f>1/$I$29-LN($I$29)+($N$16*EXP($N$16/($D$14*$N$15))/(($D$14*$N$15^2)*(1-1.05*($N$17^1.26))))*'F(T,E)'!J48</f>
        <v>-3.991205552669542</v>
      </c>
      <c r="J68" s="17">
        <f>1/$J$29-LN($J$29)+($O$16*EXP($O$16/($D$14*$O$15))/(($D$14*$O$15^2)*(1-1.05*($O$17^1.26))))*'F(T,E)'!K48</f>
        <v>-1.6534402164159456</v>
      </c>
      <c r="K68" s="17">
        <f>1/$K$29-LN($K$29)+($P$16*EXP($P$16/($D$14*$P$15))/(($D$14*$P$15^2)*(1-1.05*($P$17^1.26))))*'F(T,E)'!L48</f>
        <v>0.3024434651328029</v>
      </c>
      <c r="L68" s="17">
        <f>1/$L$29-LN($L$29)+($Q$16*EXP($Q$16/($D$14*$Q$15))/(($D$14*$Q$15^2)*(1-1.05*($Q$17^1.26))))*'F(T,E)'!M48</f>
        <v>-1.1827777265618822</v>
      </c>
      <c r="M68" s="17">
        <f>1/$M$29-LN($M$29)+($R$16*EXP($R$16/($D$14*$R$15))/(($D$14*$R$15^2)*(1-1.05*($R$17^1.26))))*'F(T,E)'!N48</f>
        <v>27.136425607953814</v>
      </c>
      <c r="N68" s="17">
        <f>1/$N$29-LN($N$29)+($S$16*EXP($S$16/($D$14*$S$15))/(($D$14*$S$15^2)*(1-1.05*($S$17^1.26))))*'F(T,E)'!O48</f>
        <v>-11.512905464603406</v>
      </c>
      <c r="O68" s="25"/>
      <c r="P68" s="20">
        <f t="shared" si="5"/>
        <v>20.265408101997526</v>
      </c>
      <c r="Q68" s="20">
        <f t="shared" si="6"/>
        <v>9.5392852133055553E-3</v>
      </c>
      <c r="R68" s="20">
        <f t="shared" si="7"/>
        <v>4.5673770436456804E-2</v>
      </c>
      <c r="S68" s="20">
        <f t="shared" si="8"/>
        <v>1.0000447432717747E-5</v>
      </c>
      <c r="T68" s="20">
        <f t="shared" si="9"/>
        <v>1.8145172614800489E-2</v>
      </c>
      <c r="U68" s="20">
        <f t="shared" si="10"/>
        <v>0.16265901086195342</v>
      </c>
      <c r="V68" s="20">
        <f t="shared" si="11"/>
        <v>0.68328568798357514</v>
      </c>
      <c r="W68" s="20">
        <f t="shared" si="12"/>
        <v>0.24084091997434889</v>
      </c>
      <c r="X68" s="20">
        <f t="shared" si="13"/>
        <v>23.960038238766018</v>
      </c>
      <c r="Y68" s="20">
        <f t="shared" si="14"/>
        <v>1.0000100003168218E-5</v>
      </c>
      <c r="Z68" s="25"/>
      <c r="AA68" s="20">
        <f t="shared" si="16"/>
        <v>73.523186373482488</v>
      </c>
      <c r="AB68" s="20">
        <f t="shared" si="17"/>
        <v>23307.128847366708</v>
      </c>
      <c r="AC68" s="20">
        <f t="shared" si="18"/>
        <v>605.50384318565784</v>
      </c>
      <c r="AD68" s="20">
        <f t="shared" si="19"/>
        <v>10.333829390019224</v>
      </c>
      <c r="AE68" s="20">
        <f t="shared" si="20"/>
        <v>5.0289631119739109E-2</v>
      </c>
      <c r="AF68" s="20">
        <f t="shared" si="21"/>
        <v>1.1171729526713446E-3</v>
      </c>
      <c r="AG68" s="20">
        <f t="shared" si="22"/>
        <v>1.4540222237469638E-6</v>
      </c>
      <c r="AH68" s="20">
        <f t="shared" si="23"/>
        <v>5.4776645401211202E-9</v>
      </c>
      <c r="AI68" s="20">
        <f t="shared" si="24"/>
        <v>0</v>
      </c>
      <c r="AJ68" s="20">
        <v>50</v>
      </c>
      <c r="AK68" s="25"/>
      <c r="AL68" s="20">
        <f t="shared" si="25"/>
        <v>24046.541114579442</v>
      </c>
      <c r="AM68" s="25"/>
      <c r="AN68" s="20">
        <f t="shared" si="26"/>
        <v>135822.55313545765</v>
      </c>
      <c r="AO68" s="20">
        <f t="shared" si="27"/>
        <v>368.54111457944236</v>
      </c>
      <c r="AQ68" s="20">
        <f t="shared" si="28"/>
        <v>4.8074148921621922E-5</v>
      </c>
      <c r="AR68" s="20">
        <v>373</v>
      </c>
      <c r="AS68" s="20">
        <f t="shared" si="29"/>
        <v>-0.15564706249659699</v>
      </c>
    </row>
    <row r="69" spans="2:45" x14ac:dyDescent="0.3">
      <c r="B69" s="32">
        <v>102</v>
      </c>
      <c r="C69" s="32">
        <v>26882</v>
      </c>
      <c r="D69" s="7">
        <f t="shared" si="15"/>
        <v>375</v>
      </c>
      <c r="E69" s="17">
        <f>1/$E$29-LN($E$29)+($J$16*EXP($J$16/($D$14*$J$15))/(($D$14*$J$15^2)*(1-1.05*($J$17^1.26))))*'F(T,E)'!F49</f>
        <v>28.284715818804351</v>
      </c>
      <c r="F69" s="17">
        <f>1/$F$29-LN($F$29)+($K$16*EXP($K$16/($D$14*$K$15))/(($D$14*$K$15^2)*(1-1.05*($K$17^1.26))))*'F(T,E)'!G49</f>
        <v>-4.6095034009758171</v>
      </c>
      <c r="G69" s="17">
        <f>1/$G$29-LN($G$29)+($L$16*EXP($L$16/($D$14*$L$15))/(($D$14*$L$15^2)*(1-1.05*($L$17^1.26))))*'F(T,E)'!H49</f>
        <v>-3.0398515370441666</v>
      </c>
      <c r="H69" s="17">
        <f>1/$H$29-LN($H$29)+($M$16*EXP($M$16/($D$14*$M$15))/(($D$14*$M$15^2)*(1-1.05*($M$17^1.26))))*'F(T,E)'!I49</f>
        <v>-11.51285937588519</v>
      </c>
      <c r="I69" s="17">
        <f>1/$I$29-LN($I$29)+($N$16*EXP($N$16/($D$14*$N$15))/(($D$14*$N$15^2)*(1-1.05*($N$17^1.26))))*'F(T,E)'!J49</f>
        <v>-3.9912055268857372</v>
      </c>
      <c r="J69" s="17">
        <f>1/$J$29-LN($J$29)+($O$16*EXP($O$16/($D$14*$O$15))/(($D$14*$O$15^2)*(1-1.05*($O$17^1.26))))*'F(T,E)'!K49</f>
        <v>-1.6534401861317627</v>
      </c>
      <c r="K69" s="17">
        <f>1/$K$29-LN($K$29)+($P$16*EXP($P$16/($D$14*$P$15))/(($D$14*$P$15^2)*(1-1.05*($P$17^1.26))))*'F(T,E)'!L49</f>
        <v>0.30244346516488163</v>
      </c>
      <c r="L69" s="17">
        <f>1/$L$29-LN($L$29)+($Q$16*EXP($Q$16/($D$14*$Q$15))/(($D$14*$Q$15^2)*(1-1.05*($Q$17^1.26))))*'F(T,E)'!M49</f>
        <v>-1.1827777265616981</v>
      </c>
      <c r="M69" s="17">
        <f>1/$M$29-LN($M$29)+($R$16*EXP($R$16/($D$14*$R$15))/(($D$14*$R$15^2)*(1-1.05*($R$17^1.26))))*'F(T,E)'!N49</f>
        <v>29.48583591745388</v>
      </c>
      <c r="N69" s="17">
        <f>1/$N$29-LN($N$29)+($S$16*EXP($S$16/($D$14*$S$15))/(($D$14*$S$15^2)*(1-1.05*($S$17^1.26))))*'F(T,E)'!O49</f>
        <v>-11.512905464531945</v>
      </c>
      <c r="O69" s="25"/>
      <c r="P69" s="20">
        <f t="shared" si="5"/>
        <v>25.063310764552956</v>
      </c>
      <c r="Q69" s="20">
        <f t="shared" si="6"/>
        <v>9.8590794145536221E-3</v>
      </c>
      <c r="R69" s="20">
        <f t="shared" si="7"/>
        <v>4.5704608420073171E-2</v>
      </c>
      <c r="S69" s="20">
        <f t="shared" si="8"/>
        <v>1.0000560900971278E-5</v>
      </c>
      <c r="T69" s="20">
        <f t="shared" si="9"/>
        <v>1.8145173074314128E-2</v>
      </c>
      <c r="U69" s="20">
        <f t="shared" si="10"/>
        <v>0.16265901509878922</v>
      </c>
      <c r="V69" s="20">
        <f t="shared" si="11"/>
        <v>0.6832856879965965</v>
      </c>
      <c r="W69" s="20">
        <f t="shared" si="12"/>
        <v>0.24084091997438464</v>
      </c>
      <c r="X69" s="20">
        <f t="shared" si="13"/>
        <v>26.219338662087544</v>
      </c>
      <c r="Y69" s="20">
        <f t="shared" si="14"/>
        <v>1.0000100003882829E-5</v>
      </c>
      <c r="Z69" s="25"/>
      <c r="AA69" s="20">
        <f t="shared" si="16"/>
        <v>56.994412945155247</v>
      </c>
      <c r="AB69" s="20">
        <f t="shared" si="17"/>
        <v>27773.977198302466</v>
      </c>
      <c r="AC69" s="20">
        <f t="shared" si="18"/>
        <v>758.48254729638904</v>
      </c>
      <c r="AD69" s="20">
        <f t="shared" si="19"/>
        <v>13.56567010209476</v>
      </c>
      <c r="AE69" s="20">
        <f t="shared" si="20"/>
        <v>7.2446790036816505E-2</v>
      </c>
      <c r="AF69" s="20">
        <f t="shared" si="21"/>
        <v>1.4898336693017964E-3</v>
      </c>
      <c r="AG69" s="20">
        <f t="shared" si="22"/>
        <v>2.1222429931078741E-6</v>
      </c>
      <c r="AH69" s="20">
        <f t="shared" si="23"/>
        <v>8.1287897679048797E-9</v>
      </c>
      <c r="AI69" s="20">
        <f t="shared" si="24"/>
        <v>0</v>
      </c>
      <c r="AJ69" s="20">
        <v>50</v>
      </c>
      <c r="AK69" s="25"/>
      <c r="AL69" s="20">
        <f t="shared" si="25"/>
        <v>28653.093767400183</v>
      </c>
      <c r="AM69" s="25"/>
      <c r="AN69" s="20">
        <f t="shared" si="26"/>
        <v>3136773.1329237749</v>
      </c>
      <c r="AO69" s="20">
        <f t="shared" si="27"/>
        <v>1771.0937674001834</v>
      </c>
      <c r="AQ69" s="20">
        <f t="shared" si="28"/>
        <v>2.3102938087467937E-4</v>
      </c>
      <c r="AR69" s="20">
        <v>375</v>
      </c>
      <c r="AS69" s="20">
        <f t="shared" si="29"/>
        <v>-0.65884002953656107</v>
      </c>
    </row>
    <row r="70" spans="2:45" x14ac:dyDescent="0.3">
      <c r="B70" s="32">
        <v>103</v>
      </c>
      <c r="C70" s="32">
        <v>30626</v>
      </c>
      <c r="D70" s="7">
        <f t="shared" si="15"/>
        <v>376</v>
      </c>
      <c r="E70" s="17">
        <f>1/$E$29-LN($E$29)+($J$16*EXP($J$16/($D$14*$J$15))/(($D$14*$J$15^2)*(1-1.05*($J$17^1.26))))*'F(T,E)'!F50</f>
        <v>31.108376621535065</v>
      </c>
      <c r="F70" s="17">
        <f>1/$F$29-LN($F$29)+($K$16*EXP($K$16/($D$14*$K$15))/(($D$14*$K$15^2)*(1-1.05*($K$17^1.26))))*'F(T,E)'!G50</f>
        <v>-4.5900747196829892</v>
      </c>
      <c r="G70" s="17">
        <f>1/$G$29-LN($G$29)+($L$16*EXP($L$16/($D$14*$L$15))/(($D$14*$L$15^2)*(1-1.05*($L$17^1.26))))*'F(T,E)'!H50</f>
        <v>-3.0394344019002162</v>
      </c>
      <c r="H70" s="17">
        <f>1/$H$29-LN($H$29)+($M$16*EXP($M$16/($D$14*$M$15))/(($D$14*$M$15^2)*(1-1.05*($M$17^1.26))))*'F(T,E)'!I50</f>
        <v>-11.512852439502632</v>
      </c>
      <c r="I70" s="17">
        <f>1/$I$29-LN($I$29)+($N$16*EXP($N$16/($D$14*$N$15))/(($D$14*$N$15^2)*(1-1.05*($N$17^1.26))))*'F(T,E)'!J50</f>
        <v>-3.9912055100209773</v>
      </c>
      <c r="J70" s="17">
        <f>1/$J$29-LN($J$29)+($O$16*EXP($O$16/($D$14*$O$15))/(($D$14*$O$15^2)*(1-1.05*($O$17^1.26))))*'F(T,E)'!K50</f>
        <v>-1.6534401674042929</v>
      </c>
      <c r="K70" s="17">
        <f>1/$K$29-LN($K$29)+($P$16*EXP($P$16/($D$14*$P$15))/(($D$14*$P$15^2)*(1-1.05*($P$17^1.26))))*'F(T,E)'!L50</f>
        <v>0.30244346518606352</v>
      </c>
      <c r="L70" s="17">
        <f>1/$L$29-LN($L$29)+($Q$16*EXP($Q$16/($D$14*$Q$15))/(($D$14*$Q$15^2)*(1-1.05*($Q$17^1.26))))*'F(T,E)'!M50</f>
        <v>-1.1827777265615751</v>
      </c>
      <c r="M70" s="17">
        <f>1/$M$29-LN($M$29)+($R$16*EXP($R$16/($D$14*$R$15))/(($D$14*$R$15^2)*(1-1.05*($R$17^1.26))))*'F(T,E)'!N50</f>
        <v>30.704245219325042</v>
      </c>
      <c r="N70" s="17">
        <f>1/$N$29-LN($N$29)+($S$16*EXP($S$16/($D$14*$S$15))/(($D$14*$S$15^2)*(1-1.05*($S$17^1.26))))*'F(T,E)'!O50</f>
        <v>-11.512905464488187</v>
      </c>
      <c r="O70" s="25"/>
      <c r="P70" s="20">
        <f t="shared" si="5"/>
        <v>27.783919213751162</v>
      </c>
      <c r="Q70" s="20">
        <f t="shared" si="6"/>
        <v>1.0050576368206604E-2</v>
      </c>
      <c r="R70" s="20">
        <f t="shared" si="7"/>
        <v>4.5722843622469478E-2</v>
      </c>
      <c r="S70" s="20">
        <f t="shared" si="8"/>
        <v>1.0000630268234346E-5</v>
      </c>
      <c r="T70" s="20">
        <f t="shared" si="9"/>
        <v>1.8145173374874403E-2</v>
      </c>
      <c r="U70" s="20">
        <f t="shared" si="10"/>
        <v>0.16265901771881086</v>
      </c>
      <c r="V70" s="20">
        <f t="shared" si="11"/>
        <v>0.68328568800519474</v>
      </c>
      <c r="W70" s="20">
        <f t="shared" si="12"/>
        <v>0.24084091997440854</v>
      </c>
      <c r="X70" s="20">
        <f t="shared" si="13"/>
        <v>27.393923982968143</v>
      </c>
      <c r="Y70" s="20">
        <f t="shared" si="14"/>
        <v>1.0000100004320416E-5</v>
      </c>
      <c r="Z70" s="25"/>
      <c r="AA70" s="20">
        <f t="shared" si="16"/>
        <v>50.431383685719986</v>
      </c>
      <c r="AB70" s="20">
        <f t="shared" si="17"/>
        <v>30209.486924924589</v>
      </c>
      <c r="AC70" s="20">
        <f t="shared" si="18"/>
        <v>848.08737081245226</v>
      </c>
      <c r="AD70" s="20">
        <f t="shared" si="19"/>
        <v>15.525986446117175</v>
      </c>
      <c r="AE70" s="20">
        <f t="shared" si="20"/>
        <v>8.6827444359653422E-2</v>
      </c>
      <c r="AF70" s="20">
        <f t="shared" si="21"/>
        <v>1.7184928510973222E-3</v>
      </c>
      <c r="AG70" s="20">
        <f t="shared" si="22"/>
        <v>2.5600708885644171E-6</v>
      </c>
      <c r="AH70" s="20">
        <f t="shared" si="23"/>
        <v>9.886833568577145E-9</v>
      </c>
      <c r="AI70" s="20">
        <f t="shared" si="24"/>
        <v>0</v>
      </c>
      <c r="AJ70" s="20">
        <v>50</v>
      </c>
      <c r="AK70" s="25"/>
      <c r="AL70" s="20">
        <f t="shared" si="25"/>
        <v>31173.620214376049</v>
      </c>
      <c r="AM70" s="25"/>
      <c r="AN70" s="20">
        <f t="shared" si="26"/>
        <v>299887.89919327013</v>
      </c>
      <c r="AO70" s="20">
        <f t="shared" si="27"/>
        <v>547.62021437604926</v>
      </c>
      <c r="AQ70" s="20">
        <f t="shared" si="28"/>
        <v>7.1434026481541522E-5</v>
      </c>
      <c r="AR70" s="20">
        <v>376</v>
      </c>
      <c r="AS70" s="20">
        <f t="shared" si="29"/>
        <v>-0.17880892521911096</v>
      </c>
    </row>
    <row r="71" spans="2:45" x14ac:dyDescent="0.3">
      <c r="B71" s="32">
        <v>104</v>
      </c>
      <c r="C71" s="32">
        <v>34492</v>
      </c>
      <c r="D71" s="7">
        <f t="shared" si="15"/>
        <v>377</v>
      </c>
      <c r="E71" s="17">
        <f>1/$E$29-LN($E$29)+($J$16*EXP($J$16/($D$14*$J$15))/(($D$14*$J$15^2)*(1-1.05*($J$17^1.26))))*'F(T,E)'!F51</f>
        <v>34.166447361615326</v>
      </c>
      <c r="F71" s="17">
        <f>1/$F$29-LN($F$29)+($K$16*EXP($K$16/($D$14*$K$15))/(($D$14*$K$15^2)*(1-1.05*($K$17^1.26))))*'F(T,E)'!G51</f>
        <v>-4.5685342638822179</v>
      </c>
      <c r="G71" s="17">
        <f>1/$G$29-LN($G$29)+($L$16*EXP($L$16/($D$14*$L$15))/(($D$14*$L$15^2)*(1-1.05*($L$17^1.26))))*'F(T,E)'!H51</f>
        <v>-3.0389679433744345</v>
      </c>
      <c r="H71" s="17">
        <f>1/$H$29-LN($H$29)+($M$16*EXP($M$16/($D$14*$M$15))/(($D$14*$M$15^2)*(1-1.05*($M$17^1.26))))*'F(T,E)'!I51</f>
        <v>-11.512844503726804</v>
      </c>
      <c r="I71" s="17">
        <f>1/$I$29-LN($I$29)+($N$16*EXP($N$16/($D$14*$N$15))/(($D$14*$N$15^2)*(1-1.05*($N$17^1.26))))*'F(T,E)'!J51</f>
        <v>-3.991205489818721</v>
      </c>
      <c r="J71" s="17">
        <f>1/$J$29-LN($J$29)+($O$16*EXP($O$16/($D$14*$O$15))/(($D$14*$O$15^2)*(1-1.05*($O$17^1.26))))*'F(T,E)'!K51</f>
        <v>-1.6534401458111625</v>
      </c>
      <c r="K71" s="17">
        <f>1/$K$29-LN($K$29)+($P$16*EXP($P$16/($D$14*$P$15))/(($D$14*$P$15^2)*(1-1.05*($P$17^1.26))))*'F(T,E)'!L51</f>
        <v>0.30244346521160209</v>
      </c>
      <c r="L71" s="17">
        <f>1/$L$29-LN($L$29)+($Q$16*EXP($Q$16/($D$14*$Q$15))/(($D$14*$Q$15^2)*(1-1.05*($Q$17^1.26))))*'F(T,E)'!M51</f>
        <v>-1.1827777265614254</v>
      </c>
      <c r="M71" s="17">
        <f>1/$M$29-LN($M$29)+($R$16*EXP($R$16/($D$14*$R$15))/(($D$14*$R$15^2)*(1-1.05*($R$17^1.26))))*'F(T,E)'!N51</f>
        <v>31.952531283703745</v>
      </c>
      <c r="N71" s="17">
        <f>1/$N$29-LN($N$29)+($S$16*EXP($S$16/($D$14*$S$15))/(($D$14*$S$15^2)*(1-1.05*($S$17^1.26))))*'F(T,E)'!O51</f>
        <v>-11.512905464438068</v>
      </c>
      <c r="O71" s="25"/>
      <c r="P71" s="20">
        <f t="shared" si="5"/>
        <v>30.740854815955419</v>
      </c>
      <c r="Q71" s="20">
        <f t="shared" si="6"/>
        <v>1.0267194584071233E-2</v>
      </c>
      <c r="R71" s="20">
        <f t="shared" si="7"/>
        <v>4.5743243252965138E-2</v>
      </c>
      <c r="S71" s="20">
        <f t="shared" si="8"/>
        <v>1.0000709630515526E-5</v>
      </c>
      <c r="T71" s="20">
        <f t="shared" si="9"/>
        <v>1.8145173734914852E-2</v>
      </c>
      <c r="U71" s="20">
        <f t="shared" si="10"/>
        <v>0.16265902073974595</v>
      </c>
      <c r="V71" s="20">
        <f t="shared" si="11"/>
        <v>0.68328568801556144</v>
      </c>
      <c r="W71" s="20">
        <f t="shared" si="12"/>
        <v>0.24084091997443757</v>
      </c>
      <c r="X71" s="20">
        <f t="shared" si="13"/>
        <v>28.599154141777621</v>
      </c>
      <c r="Y71" s="20">
        <f t="shared" si="14"/>
        <v>1.0000100004821595E-5</v>
      </c>
      <c r="Z71" s="25"/>
      <c r="AA71" s="20">
        <f t="shared" si="16"/>
        <v>44.757874528511799</v>
      </c>
      <c r="AB71" s="20">
        <f t="shared" si="17"/>
        <v>32771.264412015604</v>
      </c>
      <c r="AC71" s="20">
        <f t="shared" si="18"/>
        <v>947.667513705234</v>
      </c>
      <c r="AD71" s="20">
        <f t="shared" si="19"/>
        <v>17.756842123575439</v>
      </c>
      <c r="AE71" s="20">
        <f t="shared" si="20"/>
        <v>0.10396273846815546</v>
      </c>
      <c r="AF71" s="20">
        <f t="shared" si="21"/>
        <v>1.9807456385627482E-3</v>
      </c>
      <c r="AG71" s="20">
        <f t="shared" si="22"/>
        <v>3.0851532506834143E-6</v>
      </c>
      <c r="AH71" s="20">
        <f t="shared" si="23"/>
        <v>1.2012612298078597E-8</v>
      </c>
      <c r="AI71" s="20">
        <f t="shared" si="24"/>
        <v>0</v>
      </c>
      <c r="AJ71" s="20">
        <v>50</v>
      </c>
      <c r="AK71" s="25"/>
      <c r="AL71" s="20">
        <f t="shared" si="25"/>
        <v>33831.552588954204</v>
      </c>
      <c r="AM71" s="25"/>
      <c r="AN71" s="20">
        <f t="shared" si="26"/>
        <v>436190.78275709448</v>
      </c>
      <c r="AO71" s="20">
        <f t="shared" si="27"/>
        <v>660.44741104579589</v>
      </c>
      <c r="AQ71" s="20">
        <f t="shared" si="28"/>
        <v>8.615170991097424E-5</v>
      </c>
      <c r="AR71" s="20">
        <v>377</v>
      </c>
      <c r="AS71" s="20">
        <f t="shared" si="29"/>
        <v>0.1914784329832413</v>
      </c>
    </row>
    <row r="72" spans="2:45" x14ac:dyDescent="0.3">
      <c r="B72" s="32">
        <v>106</v>
      </c>
      <c r="C72" s="32">
        <v>38740</v>
      </c>
      <c r="D72" s="7">
        <f t="shared" si="15"/>
        <v>379</v>
      </c>
      <c r="E72" s="17">
        <f>1/$E$29-LN($E$29)+($J$16*EXP($J$16/($D$14*$J$15))/(($D$14*$J$15^2)*(1-1.05*($J$17^1.26))))*'F(T,E)'!F52</f>
        <v>41.059339102729965</v>
      </c>
      <c r="F72" s="17">
        <f>1/$F$29-LN($F$29)+($K$16*EXP($K$16/($D$14*$K$15))/(($D$14*$K$15^2)*(1-1.05*($K$17^1.26))))*'F(T,E)'!G52</f>
        <v>-4.518231271738534</v>
      </c>
      <c r="G72" s="17">
        <f>1/$G$29-LN($G$29)+($L$16*EXP($L$16/($D$14*$L$15))/(($D$14*$L$15^2)*(1-1.05*($L$17^1.26))))*'F(T,E)'!H52</f>
        <v>-3.0378643793885165</v>
      </c>
      <c r="H72" s="17">
        <f>1/$H$29-LN($H$29)+($M$16*EXP($M$16/($D$14*$M$15))/(($D$14*$M$15^2)*(1-1.05*($M$17^1.26))))*'F(T,E)'!I52</f>
        <v>-11.512825065892404</v>
      </c>
      <c r="I72" s="17">
        <f>1/$I$29-LN($I$29)+($N$16*EXP($N$16/($D$14*$N$15))/(($D$14*$N$15^2)*(1-1.05*($N$17^1.26))))*'F(T,E)'!J52</f>
        <v>-3.9912054367350707</v>
      </c>
      <c r="J72" s="17">
        <f>1/$J$29-LN($J$29)+($O$16*EXP($O$16/($D$14*$O$15))/(($D$14*$O$15^2)*(1-1.05*($O$17^1.26))))*'F(T,E)'!K52</f>
        <v>-1.6534400922903139</v>
      </c>
      <c r="K72" s="17">
        <f>1/$K$29-LN($K$29)+($P$16*EXP($P$16/($D$14*$P$15))/(($D$14*$P$15^2)*(1-1.05*($P$17^1.26))))*'F(T,E)'!L52</f>
        <v>0.30244346527937732</v>
      </c>
      <c r="L72" s="17">
        <f>1/$L$29-LN($L$29)+($Q$16*EXP($Q$16/($D$14*$Q$15))/(($D$14*$Q$15^2)*(1-1.05*($Q$17^1.26))))*'F(T,E)'!M52</f>
        <v>-1.1827777265610235</v>
      </c>
      <c r="M72" s="17">
        <f>1/$M$29-LN($M$29)+($R$16*EXP($R$16/($D$14*$R$15))/(($D$14*$R$15^2)*(1-1.05*($R$17^1.26))))*'F(T,E)'!N52</f>
        <v>34.540997515968215</v>
      </c>
      <c r="N72" s="17">
        <f>1/$N$29-LN($N$29)+($S$16*EXP($S$16/($D$14*$S$15))/(($D$14*$S$15^2)*(1-1.05*($S$17^1.26))))*'F(T,E)'!O52</f>
        <v>-11.512905464315098</v>
      </c>
      <c r="O72" s="25"/>
      <c r="P72" s="20">
        <f t="shared" si="5"/>
        <v>37.436687918742521</v>
      </c>
      <c r="Q72" s="20">
        <f t="shared" si="6"/>
        <v>1.0791219431075177E-2</v>
      </c>
      <c r="R72" s="20">
        <f t="shared" si="7"/>
        <v>4.5791540074122512E-2</v>
      </c>
      <c r="S72" s="20">
        <f t="shared" si="8"/>
        <v>1.0000904022598401E-5</v>
      </c>
      <c r="T72" s="20">
        <f t="shared" si="9"/>
        <v>1.814517468096077E-2</v>
      </c>
      <c r="U72" s="20">
        <f t="shared" si="10"/>
        <v>0.16265902822745204</v>
      </c>
      <c r="V72" s="20">
        <f t="shared" si="11"/>
        <v>0.6832856880430731</v>
      </c>
      <c r="W72" s="20">
        <f t="shared" si="12"/>
        <v>0.24084091997451557</v>
      </c>
      <c r="X72" s="20">
        <f t="shared" si="13"/>
        <v>31.103671644444578</v>
      </c>
      <c r="Y72" s="20">
        <f t="shared" si="14"/>
        <v>1.0000100006051299E-5</v>
      </c>
      <c r="Z72" s="25"/>
      <c r="AA72" s="20">
        <f t="shared" si="16"/>
        <v>35.541266984810548</v>
      </c>
      <c r="AB72" s="20">
        <f t="shared" si="17"/>
        <v>38225.146010677272</v>
      </c>
      <c r="AC72" s="20">
        <f t="shared" si="18"/>
        <v>1180.9902551282971</v>
      </c>
      <c r="AD72" s="20">
        <f t="shared" si="19"/>
        <v>23.176835208171301</v>
      </c>
      <c r="AE72" s="20">
        <f t="shared" si="20"/>
        <v>0.14862120127658185</v>
      </c>
      <c r="AF72" s="20">
        <f t="shared" si="21"/>
        <v>2.6255130477807719E-3</v>
      </c>
      <c r="AG72" s="20">
        <f t="shared" si="22"/>
        <v>4.4672836580477983E-6</v>
      </c>
      <c r="AH72" s="20">
        <f t="shared" si="23"/>
        <v>1.7679050397636121E-8</v>
      </c>
      <c r="AI72" s="20">
        <f t="shared" si="24"/>
        <v>0</v>
      </c>
      <c r="AJ72" s="20">
        <v>50</v>
      </c>
      <c r="AK72" s="25"/>
      <c r="AL72" s="20">
        <f t="shared" si="25"/>
        <v>39515.005619197836</v>
      </c>
      <c r="AM72" s="25"/>
      <c r="AN72" s="20">
        <f t="shared" si="26"/>
        <v>600633.70978822198</v>
      </c>
      <c r="AO72" s="20">
        <f t="shared" si="27"/>
        <v>775.0056191978365</v>
      </c>
      <c r="AQ72" s="20">
        <f t="shared" si="28"/>
        <v>1.0109519420900151E-4</v>
      </c>
      <c r="AR72" s="20">
        <v>379</v>
      </c>
      <c r="AS72" s="20">
        <f t="shared" si="29"/>
        <v>-0.20005307671601355</v>
      </c>
    </row>
    <row r="73" spans="2:45" x14ac:dyDescent="0.3">
      <c r="B73" s="32">
        <v>107</v>
      </c>
      <c r="C73" s="32">
        <v>43192</v>
      </c>
      <c r="D73" s="7">
        <f t="shared" si="15"/>
        <v>380</v>
      </c>
      <c r="E73" s="17">
        <f>1/$E$29-LN($E$29)+($J$16*EXP($J$16/($D$14*$J$15))/(($D$14*$J$15^2)*(1-1.05*($J$17^1.26))))*'F(T,E)'!F53</f>
        <v>44.934204944465812</v>
      </c>
      <c r="F73" s="17">
        <f>1/$F$29-LN($F$29)+($K$16*EXP($K$16/($D$14*$K$15))/(($D$14*$K$15^2)*(1-1.05*($K$17^1.26))))*'F(T,E)'!G53</f>
        <v>-4.4889714100642006</v>
      </c>
      <c r="G73" s="17">
        <f>1/$G$29-LN($G$29)+($L$16*EXP($L$16/($D$14*$L$15))/(($D$14*$L$15^2)*(1-1.05*($L$17^1.26))))*'F(T,E)'!H53</f>
        <v>-3.0372144191499775</v>
      </c>
      <c r="H73" s="17">
        <f>1/$H$29-LN($H$29)+($M$16*EXP($M$16/($D$14*$M$15))/(($D$14*$M$15^2)*(1-1.05*($M$17^1.26))))*'F(T,E)'!I53</f>
        <v>-11.512813232481875</v>
      </c>
      <c r="I73" s="17">
        <f>1/$I$29-LN($I$29)+($N$16*EXP($N$16/($D$14*$N$15))/(($D$14*$N$15^2)*(1-1.05*($N$17^1.26))))*'F(T,E)'!J53</f>
        <v>-3.9912054022064258</v>
      </c>
      <c r="J73" s="17">
        <f>1/$J$29-LN($J$29)+($O$16*EXP($O$16/($D$14*$O$15))/(($D$14*$O$15^2)*(1-1.05*($O$17^1.26))))*'F(T,E)'!K53</f>
        <v>-1.6534400593392253</v>
      </c>
      <c r="K73" s="17">
        <f>1/$K$29-LN($K$29)+($P$16*EXP($P$16/($D$14*$P$15))/(($D$14*$P$15^2)*(1-1.05*($P$17^1.26))))*'F(T,E)'!L53</f>
        <v>0.30244346532387328</v>
      </c>
      <c r="L73" s="17">
        <f>1/$L$29-LN($L$29)+($Q$16*EXP($Q$16/($D$14*$Q$15))/(($D$14*$Q$15^2)*(1-1.05*($Q$17^1.26))))*'F(T,E)'!M53</f>
        <v>-1.1827777265607566</v>
      </c>
      <c r="M73" s="17">
        <f>1/$M$29-LN($M$29)+($R$16*EXP($R$16/($D$14*$R$15))/(($D$14*$R$15^2)*(1-1.05*($R$17^1.26))))*'F(T,E)'!N53</f>
        <v>35.882327108398812</v>
      </c>
      <c r="N73" s="17">
        <f>1/$N$29-LN($N$29)+($S$16*EXP($S$16/($D$14*$S$15))/(($D$14*$S$15^2)*(1-1.05*($S$17^1.26))))*'F(T,E)'!O53</f>
        <v>-11.512905464240115</v>
      </c>
      <c r="O73" s="25"/>
      <c r="P73" s="20">
        <f t="shared" si="5"/>
        <v>41.215393138033662</v>
      </c>
      <c r="Q73" s="20">
        <f t="shared" si="6"/>
        <v>1.1108113150253616E-2</v>
      </c>
      <c r="R73" s="20">
        <f t="shared" si="7"/>
        <v>4.5820008009225997E-2</v>
      </c>
      <c r="S73" s="20">
        <f t="shared" si="8"/>
        <v>1.0001022366918008E-5</v>
      </c>
      <c r="T73" s="20">
        <f t="shared" si="9"/>
        <v>1.8145175296323209E-2</v>
      </c>
      <c r="U73" s="20">
        <f t="shared" si="10"/>
        <v>0.16265903283739522</v>
      </c>
      <c r="V73" s="20">
        <f t="shared" si="11"/>
        <v>0.6832856880611351</v>
      </c>
      <c r="W73" s="20">
        <f t="shared" si="12"/>
        <v>0.24084091997456739</v>
      </c>
      <c r="X73" s="20">
        <f t="shared" si="13"/>
        <v>32.404043882209493</v>
      </c>
      <c r="Y73" s="20">
        <f t="shared" si="14"/>
        <v>1.0000100006801132E-5</v>
      </c>
      <c r="Z73" s="25"/>
      <c r="AA73" s="20">
        <f t="shared" si="16"/>
        <v>31.787871738391164</v>
      </c>
      <c r="AB73" s="20">
        <f t="shared" si="17"/>
        <v>41081.194581008924</v>
      </c>
      <c r="AC73" s="20">
        <f t="shared" si="18"/>
        <v>1317.1028828980566</v>
      </c>
      <c r="AD73" s="20">
        <f t="shared" si="19"/>
        <v>26.450915993648209</v>
      </c>
      <c r="AE73" s="20">
        <f t="shared" si="20"/>
        <v>0.17744740329620287</v>
      </c>
      <c r="AF73" s="20">
        <f t="shared" si="21"/>
        <v>3.0194219920411294E-3</v>
      </c>
      <c r="AG73" s="20">
        <f t="shared" si="22"/>
        <v>5.367750459430499E-6</v>
      </c>
      <c r="AH73" s="20">
        <f t="shared" si="23"/>
        <v>2.14144644304377E-8</v>
      </c>
      <c r="AI73" s="20">
        <f t="shared" si="24"/>
        <v>0</v>
      </c>
      <c r="AJ73" s="20">
        <v>50</v>
      </c>
      <c r="AK73" s="25"/>
      <c r="AL73" s="20">
        <f t="shared" si="25"/>
        <v>42506.716723853475</v>
      </c>
      <c r="AM73" s="25"/>
      <c r="AN73" s="20">
        <f t="shared" si="26"/>
        <v>469613.16856611468</v>
      </c>
      <c r="AO73" s="20">
        <f t="shared" si="27"/>
        <v>685.28327614652517</v>
      </c>
      <c r="AQ73" s="20">
        <f t="shared" si="28"/>
        <v>8.9391411073793628E-5</v>
      </c>
      <c r="AR73" s="20">
        <v>380</v>
      </c>
      <c r="AS73" s="20">
        <f t="shared" si="29"/>
        <v>0.1586597694356652</v>
      </c>
    </row>
    <row r="74" spans="2:45" x14ac:dyDescent="0.3">
      <c r="B74" s="32">
        <v>109</v>
      </c>
      <c r="C74" s="32">
        <v>47785</v>
      </c>
      <c r="D74" s="7">
        <f t="shared" si="15"/>
        <v>382</v>
      </c>
      <c r="E74" s="17">
        <f>1/$E$29-LN($E$29)+($J$16*EXP($J$16/($D$14*$J$15))/(($D$14*$J$15^2)*(1-1.05*($J$17^1.26))))*'F(T,E)'!F54</f>
        <v>53.651644933379991</v>
      </c>
      <c r="F74" s="17">
        <f>1/$F$29-LN($F$29)+($K$16*EXP($K$16/($D$14*$K$15))/(($D$14*$K$15^2)*(1-1.05*($K$17^1.26))))*'F(T,E)'!G54</f>
        <v>-4.4208090589248936</v>
      </c>
      <c r="G74" s="17">
        <f>1/$G$29-LN($G$29)+($L$16*EXP($L$16/($D$14*$L$15))/(($D$14*$L$15^2)*(1-1.05*($L$17^1.26))))*'F(T,E)'!H54</f>
        <v>-3.0356808107411259</v>
      </c>
      <c r="H74" s="17">
        <f>1/$H$29-LN($H$29)+($M$16*EXP($M$16/($D$14*$M$15))/(($D$14*$M$15^2)*(1-1.05*($M$17^1.26))))*'F(T,E)'!I54</f>
        <v>-11.512784340968325</v>
      </c>
      <c r="I74" s="17">
        <f>1/$I$29-LN($I$29)+($N$16*EXP($N$16/($D$14*$N$15))/(($D$14*$N$15^2)*(1-1.05*($N$17^1.26))))*'F(T,E)'!J54</f>
        <v>-3.9912053118723931</v>
      </c>
      <c r="J74" s="17">
        <f>1/$J$29-LN($J$29)+($O$16*EXP($O$16/($D$14*$O$15))/(($D$14*$O$15^2)*(1-1.05*($O$17^1.26))))*'F(T,E)'!K54</f>
        <v>-1.6534399779444753</v>
      </c>
      <c r="K74" s="17">
        <f>1/$K$29-LN($K$29)+($P$16*EXP($P$16/($D$14*$P$15))/(($D$14*$P$15^2)*(1-1.05*($P$17^1.26))))*'F(T,E)'!L54</f>
        <v>0.30244346544142708</v>
      </c>
      <c r="L74" s="17">
        <f>1/$L$29-LN($L$29)+($Q$16*EXP($Q$16/($D$14*$Q$15))/(($D$14*$Q$15^2)*(1-1.05*($Q$17^1.26))))*'F(T,E)'!M54</f>
        <v>-1.1827777265600425</v>
      </c>
      <c r="M74" s="17">
        <f>1/$M$29-LN($M$29)+($R$16*EXP($R$16/($D$14*$R$15))/(($D$14*$R$15^2)*(1-1.05*($R$17^1.26))))*'F(T,E)'!N54</f>
        <v>38.662105617270498</v>
      </c>
      <c r="N74" s="17">
        <f>1/$N$29-LN($N$29)+($S$16*EXP($S$16/($D$14*$S$15))/(($D$14*$S$15^2)*(1-1.05*($S$17^1.26))))*'F(T,E)'!O54</f>
        <v>-11.512905464056734</v>
      </c>
      <c r="O74" s="25"/>
      <c r="P74" s="20">
        <f t="shared" si="5"/>
        <v>49.744740199987987</v>
      </c>
      <c r="Q74" s="20">
        <f t="shared" si="6"/>
        <v>1.188246466020252E-2</v>
      </c>
      <c r="R74" s="20">
        <f t="shared" si="7"/>
        <v>4.5887246382136718E-2</v>
      </c>
      <c r="S74" s="20">
        <f t="shared" si="8"/>
        <v>1.0001311312875458E-5</v>
      </c>
      <c r="T74" s="20">
        <f t="shared" si="9"/>
        <v>1.8145176906237959E-2</v>
      </c>
      <c r="U74" s="20">
        <f t="shared" si="10"/>
        <v>0.16265904422473351</v>
      </c>
      <c r="V74" s="20">
        <f t="shared" si="11"/>
        <v>0.68328568810885293</v>
      </c>
      <c r="W74" s="20">
        <f t="shared" si="12"/>
        <v>0.24084091997470597</v>
      </c>
      <c r="X74" s="20">
        <f t="shared" si="13"/>
        <v>35.103796334956236</v>
      </c>
      <c r="Y74" s="20">
        <f t="shared" si="14"/>
        <v>1.0000100008634938E-5</v>
      </c>
      <c r="Z74" s="25"/>
      <c r="AA74" s="20">
        <f t="shared" si="16"/>
        <v>25.594707548373226</v>
      </c>
      <c r="AB74" s="20">
        <f t="shared" si="17"/>
        <v>46919.447483359087</v>
      </c>
      <c r="AC74" s="20">
        <f t="shared" si="18"/>
        <v>1634.9959116752634</v>
      </c>
      <c r="AD74" s="20">
        <f t="shared" si="19"/>
        <v>34.380340471663018</v>
      </c>
      <c r="AE74" s="20">
        <f t="shared" si="20"/>
        <v>0.25225405235704496</v>
      </c>
      <c r="AF74" s="20">
        <f t="shared" si="21"/>
        <v>3.9846439301950212E-3</v>
      </c>
      <c r="AG74" s="20">
        <f t="shared" si="22"/>
        <v>7.7274694230735604E-6</v>
      </c>
      <c r="AH74" s="20">
        <f t="shared" si="23"/>
        <v>3.1325370729694482E-8</v>
      </c>
      <c r="AI74" s="20">
        <f t="shared" si="24"/>
        <v>0</v>
      </c>
      <c r="AJ74" s="20">
        <v>50</v>
      </c>
      <c r="AK74" s="25"/>
      <c r="AL74" s="20">
        <f t="shared" si="25"/>
        <v>48664.674689509462</v>
      </c>
      <c r="AM74" s="25"/>
      <c r="AN74" s="20">
        <f t="shared" si="26"/>
        <v>773827.55936356843</v>
      </c>
      <c r="AO74" s="20">
        <f t="shared" si="27"/>
        <v>879.67468950946204</v>
      </c>
      <c r="AQ74" s="20">
        <f t="shared" si="28"/>
        <v>1.1474869520139658E-4</v>
      </c>
      <c r="AR74" s="20">
        <v>382</v>
      </c>
      <c r="AS74" s="20">
        <f t="shared" si="29"/>
        <v>-0.18409013069152708</v>
      </c>
    </row>
    <row r="75" spans="2:45" x14ac:dyDescent="0.3">
      <c r="B75" s="32">
        <v>110</v>
      </c>
      <c r="C75" s="32">
        <v>52441</v>
      </c>
      <c r="D75" s="7">
        <f t="shared" si="15"/>
        <v>383</v>
      </c>
      <c r="E75" s="17">
        <f>1/$E$29-LN($E$29)+($J$16*EXP($J$16/($D$14*$J$15))/(($D$14*$J$15^2)*(1-1.05*($J$17^1.26))))*'F(T,E)'!F55</f>
        <v>58.543257945105942</v>
      </c>
      <c r="F75" s="17">
        <f>1/$F$29-LN($F$29)+($K$16*EXP($K$16/($D$14*$K$15))/(($D$14*$K$15^2)*(1-1.05*($K$17^1.26))))*'F(T,E)'!G55</f>
        <v>-4.3812539508242194</v>
      </c>
      <c r="G75" s="17">
        <f>1/$G$29-LN($G$29)+($L$16*EXP($L$16/($D$14*$L$15))/(($D$14*$L$15^2)*(1-1.05*($L$17^1.26))))*'F(T,E)'!H55</f>
        <v>-3.0347798618421802</v>
      </c>
      <c r="H75" s="17">
        <f>1/$H$29-LN($H$29)+($M$16*EXP($M$16/($D$14*$M$15))/(($D$14*$M$15^2)*(1-1.05*($M$17^1.26))))*'F(T,E)'!I55</f>
        <v>-11.512766805861169</v>
      </c>
      <c r="I75" s="17">
        <f>1/$I$29-LN($I$29)+($N$16*EXP($N$16/($D$14*$N$15))/(($D$14*$N$15^2)*(1-1.05*($N$17^1.26))))*'F(T,E)'!J55</f>
        <v>-3.9912052533519042</v>
      </c>
      <c r="J75" s="17">
        <f>1/$J$29-LN($J$29)+($O$16*EXP($O$16/($D$14*$O$15))/(($D$14*$O$15^2)*(1-1.05*($O$17^1.26))))*'F(T,E)'!K55</f>
        <v>-1.6534399279934329</v>
      </c>
      <c r="K75" s="17">
        <f>1/$K$29-LN($K$29)+($P$16*EXP($P$16/($D$14*$P$15))/(($D$14*$P$15^2)*(1-1.05*($P$17^1.26))))*'F(T,E)'!L55</f>
        <v>0.30244346551828055</v>
      </c>
      <c r="L75" s="17">
        <f>1/$L$29-LN($L$29)+($Q$16*EXP($Q$16/($D$14*$Q$15))/(($D$14*$Q$15^2)*(1-1.05*($Q$17^1.26))))*'F(T,E)'!M55</f>
        <v>-1.18277772655957</v>
      </c>
      <c r="M75" s="17">
        <f>1/$M$29-LN($M$29)+($R$16*EXP($R$16/($D$14*$R$15))/(($D$14*$R$15^2)*(1-1.05*($R$17^1.26))))*'F(T,E)'!N55</f>
        <v>40.101746306551036</v>
      </c>
      <c r="N75" s="17">
        <f>1/$N$29-LN($N$29)+($S$16*EXP($S$16/($D$14*$S$15))/(($D$14*$S$15^2)*(1-1.05*($S$17^1.26))))*'F(T,E)'!O55</f>
        <v>-11.512905463945257</v>
      </c>
      <c r="O75" s="25"/>
      <c r="P75" s="20">
        <f t="shared" si="5"/>
        <v>54.544245724648519</v>
      </c>
      <c r="Q75" s="20">
        <f t="shared" si="6"/>
        <v>1.2356043366364453E-2</v>
      </c>
      <c r="R75" s="20">
        <f t="shared" si="7"/>
        <v>4.5926790887251122E-2</v>
      </c>
      <c r="S75" s="20">
        <f t="shared" si="8"/>
        <v>1.0001486686724646E-5</v>
      </c>
      <c r="T75" s="20">
        <f t="shared" si="9"/>
        <v>1.8145177949178276E-2</v>
      </c>
      <c r="U75" s="20">
        <f t="shared" si="10"/>
        <v>0.16265905121301524</v>
      </c>
      <c r="V75" s="20">
        <f t="shared" si="11"/>
        <v>0.68328568814004964</v>
      </c>
      <c r="W75" s="20">
        <f t="shared" si="12"/>
        <v>0.24084091997479767</v>
      </c>
      <c r="X75" s="20">
        <f t="shared" si="13"/>
        <v>36.504315811540486</v>
      </c>
      <c r="Y75" s="20">
        <f t="shared" si="14"/>
        <v>1.0000100009749709E-5</v>
      </c>
      <c r="Z75" s="25"/>
      <c r="AA75" s="20">
        <f t="shared" si="16"/>
        <v>23.034793772907459</v>
      </c>
      <c r="AB75" s="20">
        <f t="shared" si="17"/>
        <v>49829.796748840286</v>
      </c>
      <c r="AC75" s="20">
        <f t="shared" si="18"/>
        <v>1819.8544943574448</v>
      </c>
      <c r="AD75" s="20">
        <f t="shared" si="19"/>
        <v>39.155930318827259</v>
      </c>
      <c r="AE75" s="20">
        <f t="shared" si="20"/>
        <v>0.30034754564432847</v>
      </c>
      <c r="AF75" s="20">
        <f t="shared" si="21"/>
        <v>4.5724668883157541E-3</v>
      </c>
      <c r="AG75" s="20">
        <f t="shared" si="22"/>
        <v>9.2584870961752453E-6</v>
      </c>
      <c r="AH75" s="20">
        <f t="shared" si="23"/>
        <v>3.7830646771514364E-8</v>
      </c>
      <c r="AI75" s="20">
        <f t="shared" si="24"/>
        <v>0</v>
      </c>
      <c r="AJ75" s="20">
        <v>50</v>
      </c>
      <c r="AK75" s="25"/>
      <c r="AL75" s="20">
        <f t="shared" si="25"/>
        <v>51762.146896598315</v>
      </c>
      <c r="AM75" s="25"/>
      <c r="AN75" s="20">
        <f t="shared" si="26"/>
        <v>460841.5359980989</v>
      </c>
      <c r="AO75" s="20">
        <f t="shared" si="27"/>
        <v>678.85310340168508</v>
      </c>
      <c r="AQ75" s="20">
        <f t="shared" si="28"/>
        <v>8.8552630623259763E-5</v>
      </c>
      <c r="AR75" s="20">
        <v>383</v>
      </c>
      <c r="AS75" s="20">
        <f t="shared" si="29"/>
        <v>0.12945083110575409</v>
      </c>
    </row>
    <row r="76" spans="2:45" x14ac:dyDescent="0.3">
      <c r="B76" s="32">
        <v>112</v>
      </c>
      <c r="C76" s="32">
        <v>57072</v>
      </c>
      <c r="D76" s="7">
        <f t="shared" si="15"/>
        <v>385</v>
      </c>
      <c r="E76" s="17">
        <f>1/$E$29-LN($E$29)+($J$16*EXP($J$16/($D$14*$J$15))/(($D$14*$J$15^2)*(1-1.05*($J$17^1.26))))*'F(T,E)'!F56</f>
        <v>69.527804198595319</v>
      </c>
      <c r="F76" s="17">
        <f>1/$F$29-LN($F$29)+($K$16*EXP($K$16/($D$14*$K$15))/(($D$14*$K$15^2)*(1-1.05*($K$17^1.26))))*'F(T,E)'!G56</f>
        <v>-4.2893289928461291</v>
      </c>
      <c r="G76" s="17">
        <f>1/$G$29-LN($G$29)+($L$16*EXP($L$16/($D$14*$L$15))/(($D$14*$L$15^2)*(1-1.05*($L$17^1.26))))*'F(T,E)'!H56</f>
        <v>-3.0326595564387149</v>
      </c>
      <c r="H76" s="17">
        <f>1/$H$29-LN($H$29)+($M$16*EXP($M$16/($D$14*$M$15))/(($D$14*$M$15^2)*(1-1.05*($M$17^1.26))))*'F(T,E)'!I56</f>
        <v>-11.512724127885855</v>
      </c>
      <c r="I76" s="17">
        <f>1/$I$29-LN($I$29)+($N$16*EXP($N$16/($D$14*$N$15))/(($D$14*$N$15^2)*(1-1.05*($N$17^1.26))))*'F(T,E)'!J56</f>
        <v>-3.9912051008989806</v>
      </c>
      <c r="J76" s="17">
        <f>1/$J$29-LN($J$29)+($O$16*EXP($O$16/($D$14*$O$15))/(($D$14*$O$15^2)*(1-1.05*($O$17^1.26))))*'F(T,E)'!K56</f>
        <v>-1.6534398050159613</v>
      </c>
      <c r="K76" s="17">
        <f>1/$K$29-LN($K$29)+($P$16*EXP($P$16/($D$14*$P$15))/(($D$14*$P$15^2)*(1-1.05*($P$17^1.26))))*'F(T,E)'!L56</f>
        <v>0.30244346572042746</v>
      </c>
      <c r="L76" s="17">
        <f>1/$L$29-LN($L$29)+($Q$16*EXP($Q$16/($D$14*$Q$15))/(($D$14*$Q$15^2)*(1-1.05*($Q$17^1.26))))*'F(T,E)'!M56</f>
        <v>-1.1827777265583126</v>
      </c>
      <c r="M76" s="17">
        <f>1/$M$29-LN($M$29)+($R$16*EXP($R$16/($D$14*$R$15))/(($D$14*$R$15^2)*(1-1.05*($R$17^1.26))))*'F(T,E)'!N56</f>
        <v>43.083563321380254</v>
      </c>
      <c r="N76" s="17">
        <f>1/$N$29-LN($N$29)+($S$16*EXP($S$16/($D$14*$S$15))/(($D$14*$S$15^2)*(1-1.05*($S$17^1.26))))*'F(T,E)'!O56</f>
        <v>-11.512905463673494</v>
      </c>
      <c r="O76" s="25"/>
      <c r="P76" s="20">
        <f t="shared" si="5"/>
        <v>65.348076197406655</v>
      </c>
      <c r="Q76" s="20">
        <f t="shared" si="6"/>
        <v>1.3529824376020582E-2</v>
      </c>
      <c r="R76" s="20">
        <f t="shared" si="7"/>
        <v>4.6019984070884673E-2</v>
      </c>
      <c r="S76" s="20">
        <f t="shared" si="8"/>
        <v>1.0001913534765797E-5</v>
      </c>
      <c r="T76" s="20">
        <f t="shared" si="9"/>
        <v>1.8145180666163722E-2</v>
      </c>
      <c r="U76" s="20">
        <f t="shared" si="10"/>
        <v>0.16265906841788691</v>
      </c>
      <c r="V76" s="20">
        <f t="shared" si="11"/>
        <v>0.68328568822210589</v>
      </c>
      <c r="W76" s="20">
        <f t="shared" si="12"/>
        <v>0.24084091997504176</v>
      </c>
      <c r="X76" s="20">
        <f t="shared" si="13"/>
        <v>39.409555021248295</v>
      </c>
      <c r="Y76" s="20">
        <f t="shared" si="14"/>
        <v>1.000010001246734E-5</v>
      </c>
      <c r="Z76" s="25"/>
      <c r="AA76" s="20">
        <f t="shared" si="16"/>
        <v>18.756738065178542</v>
      </c>
      <c r="AB76" s="20">
        <f t="shared" si="17"/>
        <v>55401.661271598503</v>
      </c>
      <c r="AC76" s="20">
        <f t="shared" si="18"/>
        <v>2250.129794133562</v>
      </c>
      <c r="AD76" s="20">
        <f t="shared" si="19"/>
        <v>50.686061834159247</v>
      </c>
      <c r="AE76" s="20">
        <f t="shared" si="20"/>
        <v>0.42463409643647343</v>
      </c>
      <c r="AF76" s="20">
        <f t="shared" si="21"/>
        <v>6.0081576400043647E-3</v>
      </c>
      <c r="AG76" s="20">
        <f t="shared" si="22"/>
        <v>1.3253240138211216E-5</v>
      </c>
      <c r="AH76" s="20">
        <f t="shared" si="23"/>
        <v>5.5012547329240008E-8</v>
      </c>
      <c r="AI76" s="20">
        <f t="shared" si="24"/>
        <v>0</v>
      </c>
      <c r="AJ76" s="20">
        <v>50</v>
      </c>
      <c r="AK76" s="25"/>
      <c r="AL76" s="20">
        <f t="shared" si="25"/>
        <v>57771.664521193736</v>
      </c>
      <c r="AM76" s="25"/>
      <c r="AN76" s="20">
        <f t="shared" si="26"/>
        <v>489530.44221725943</v>
      </c>
      <c r="AO76" s="20">
        <f t="shared" si="27"/>
        <v>699.66452119373571</v>
      </c>
      <c r="AQ76" s="20">
        <f t="shared" si="28"/>
        <v>9.1267364905612053E-5</v>
      </c>
      <c r="AR76" s="20">
        <v>385</v>
      </c>
      <c r="AS76" s="20">
        <f t="shared" si="29"/>
        <v>-0.12259330690947148</v>
      </c>
    </row>
    <row r="77" spans="2:45" x14ac:dyDescent="0.3">
      <c r="B77" s="32">
        <v>114</v>
      </c>
      <c r="C77" s="32">
        <v>61342</v>
      </c>
      <c r="D77" s="7">
        <f t="shared" si="15"/>
        <v>387</v>
      </c>
      <c r="E77" s="17">
        <f>1/$E$29-LN($E$29)+($J$16*EXP($J$16/($D$14*$J$15))/(($D$14*$J$15^2)*(1-1.05*($J$17^1.26))))*'F(T,E)'!F57</f>
        <v>82.317007399449935</v>
      </c>
      <c r="F77" s="17">
        <f>1/$F$29-LN($F$29)+($K$16*EXP($K$16/($D$14*$K$15))/(($D$14*$K$15^2)*(1-1.05*($K$17^1.26))))*'F(T,E)'!G57</f>
        <v>-4.1774098765926917</v>
      </c>
      <c r="G77" s="17">
        <f>1/$G$29-LN($G$29)+($L$16*EXP($L$16/($D$14*$L$15))/(($D$14*$L$15^2)*(1-1.05*($L$17^1.26))))*'F(T,E)'!H57</f>
        <v>-3.030035501993531</v>
      </c>
      <c r="H77" s="17">
        <f>1/$H$29-LN($H$29)+($M$16*EXP($M$16/($D$14*$M$15))/(($D$14*$M$15^2)*(1-1.05*($M$17^1.26))))*'F(T,E)'!I57</f>
        <v>-11.51266895869797</v>
      </c>
      <c r="I77" s="17">
        <f>1/$I$29-LN($I$29)+($N$16*EXP($N$16/($D$14*$N$15))/(($D$14*$N$15^2)*(1-1.05*($N$17^1.26))))*'F(T,E)'!J57</f>
        <v>-3.9912048857711118</v>
      </c>
      <c r="J77" s="17">
        <f>1/$J$29-LN($J$29)+($O$16*EXP($O$16/($D$14*$O$15))/(($D$14*$O$15^2)*(1-1.05*($O$17^1.26))))*'F(T,E)'!K57</f>
        <v>-1.6534396436677088</v>
      </c>
      <c r="K77" s="17">
        <f>1/$K$29-LN($K$29)+($P$16*EXP($P$16/($D$14*$P$15))/(($D$14*$P$15^2)*(1-1.05*($P$17^1.26))))*'F(T,E)'!L57</f>
        <v>0.30244346600922156</v>
      </c>
      <c r="L77" s="17">
        <f>1/$L$29-LN($L$29)+($Q$16*EXP($Q$16/($D$14*$Q$15))/(($D$14*$Q$15^2)*(1-1.05*($Q$17^1.26))))*'F(T,E)'!M57</f>
        <v>-1.1827777265564874</v>
      </c>
      <c r="M77" s="17">
        <f>1/$M$29-LN($M$29)+($R$16*EXP($R$16/($D$14*$R$15))/(($D$14*$R$15^2)*(1-1.05*($R$17^1.26))))*'F(T,E)'!N57</f>
        <v>46.206221575295984</v>
      </c>
      <c r="N77" s="17">
        <f>1/$N$29-LN($N$29)+($S$16*EXP($S$16/($D$14*$S$15))/(($D$14*$S$15^2)*(1-1.05*($S$17^1.26))))*'F(T,E)'!O57</f>
        <v>-11.512905463321438</v>
      </c>
      <c r="O77" s="25"/>
      <c r="P77" s="20">
        <f t="shared" si="5"/>
        <v>77.960801247192876</v>
      </c>
      <c r="Q77" s="20">
        <f t="shared" si="6"/>
        <v>1.5108193445486792E-2</v>
      </c>
      <c r="R77" s="20">
        <f t="shared" si="7"/>
        <v>4.6135568720606528E-2</v>
      </c>
      <c r="S77" s="20">
        <f t="shared" si="8"/>
        <v>1.0002465341914762E-5</v>
      </c>
      <c r="T77" s="20">
        <f t="shared" si="9"/>
        <v>1.8145184500130158E-2</v>
      </c>
      <c r="U77" s="20">
        <f t="shared" si="10"/>
        <v>0.16265909099093412</v>
      </c>
      <c r="V77" s="20">
        <f t="shared" si="11"/>
        <v>0.68328568833933423</v>
      </c>
      <c r="W77" s="20">
        <f t="shared" si="12"/>
        <v>0.24084091997539603</v>
      </c>
      <c r="X77" s="20">
        <f t="shared" si="13"/>
        <v>42.457712983323084</v>
      </c>
      <c r="Y77" s="20">
        <f t="shared" si="14"/>
        <v>1.00001000159879E-5</v>
      </c>
      <c r="Z77" s="25"/>
      <c r="AA77" s="20">
        <f t="shared" si="16"/>
        <v>15.370569031068383</v>
      </c>
      <c r="AB77" s="20">
        <f t="shared" si="17"/>
        <v>60254.28003543034</v>
      </c>
      <c r="AC77" s="20">
        <f t="shared" si="18"/>
        <v>2774.5845365243204</v>
      </c>
      <c r="AD77" s="20">
        <f t="shared" si="19"/>
        <v>65.435793225488425</v>
      </c>
      <c r="AE77" s="20">
        <f t="shared" si="20"/>
        <v>0.59820657871324012</v>
      </c>
      <c r="AF77" s="20">
        <f t="shared" si="21"/>
        <v>7.8723846845921534E-3</v>
      </c>
      <c r="AG77" s="20">
        <f t="shared" si="22"/>
        <v>1.8901399361613946E-5</v>
      </c>
      <c r="AH77" s="20">
        <f t="shared" si="23"/>
        <v>7.9689102951260053E-8</v>
      </c>
      <c r="AI77" s="20">
        <f t="shared" si="24"/>
        <v>0</v>
      </c>
      <c r="AJ77" s="20">
        <v>50</v>
      </c>
      <c r="AK77" s="25"/>
      <c r="AL77" s="20">
        <f t="shared" si="25"/>
        <v>63160.277032155696</v>
      </c>
      <c r="AM77" s="25"/>
      <c r="AN77" s="20">
        <f t="shared" si="26"/>
        <v>3306131.3656649273</v>
      </c>
      <c r="AO77" s="20">
        <f t="shared" si="27"/>
        <v>1818.2770321556964</v>
      </c>
      <c r="AQ77" s="20">
        <f t="shared" si="28"/>
        <v>2.3718417665385123E-4</v>
      </c>
      <c r="AR77" s="20">
        <v>387</v>
      </c>
      <c r="AS77" s="20">
        <f t="shared" si="29"/>
        <v>-0.29641632684876534</v>
      </c>
    </row>
    <row r="78" spans="2:45" x14ac:dyDescent="0.3">
      <c r="B78" s="32">
        <v>115</v>
      </c>
      <c r="C78" s="32">
        <v>65032</v>
      </c>
      <c r="D78" s="7">
        <f t="shared" si="15"/>
        <v>388</v>
      </c>
      <c r="E78" s="17">
        <f>1/$E$29-LN($E$29)+($J$16*EXP($J$16/($D$14*$J$15))/(($D$14*$J$15^2)*(1-1.05*($J$17^1.26))))*'F(T,E)'!F58</f>
        <v>89.472290837652949</v>
      </c>
      <c r="F78" s="17">
        <f>1/$F$29-LN($F$29)+($K$16*EXP($K$16/($D$14*$K$15))/(($D$14*$K$15^2)*(1-1.05*($K$17^1.26))))*'F(T,E)'!G58</f>
        <v>-4.1127085114140929</v>
      </c>
      <c r="G78" s="17">
        <f>1/$G$29-LN($G$29)+($L$16*EXP($L$16/($D$14*$L$15))/(($D$14*$L$15^2)*(1-1.05*($L$17^1.26))))*'F(T,E)'!H58</f>
        <v>-3.0285002655891633</v>
      </c>
      <c r="H78" s="17">
        <f>1/$H$29-LN($H$29)+($M$16*EXP($M$16/($D$14*$M$15))/(($D$14*$M$15^2)*(1-1.05*($M$17^1.26))))*'F(T,E)'!I58</f>
        <v>-11.512635639444239</v>
      </c>
      <c r="I78" s="17">
        <f>1/$I$29-LN($I$29)+($N$16*EXP($N$16/($D$14*$N$15))/(($D$14*$N$15^2)*(1-1.05*($N$17^1.26))))*'F(T,E)'!J58</f>
        <v>-3.9912047473172625</v>
      </c>
      <c r="J78" s="17">
        <f>1/$J$29-LN($J$29)+($O$16*EXP($O$16/($D$14*$O$15))/(($D$14*$O$15^2)*(1-1.05*($O$17^1.26))))*'F(T,E)'!K58</f>
        <v>-1.653439545164084</v>
      </c>
      <c r="K78" s="17">
        <f>1/$K$29-LN($K$29)+($P$16*EXP($P$16/($D$14*$P$15))/(($D$14*$P$15^2)*(1-1.05*($P$17^1.26))))*'F(T,E)'!L58</f>
        <v>0.3024434661967505</v>
      </c>
      <c r="L78" s="17">
        <f>1/$L$29-LN($L$29)+($Q$16*EXP($Q$16/($D$14*$Q$15))/(($D$14*$Q$15^2)*(1-1.05*($Q$17^1.26))))*'F(T,E)'!M58</f>
        <v>-1.182777726555289</v>
      </c>
      <c r="M78" s="17">
        <f>1/$M$29-LN($M$29)+($R$16*EXP($R$16/($D$14*$R$15))/(($D$14*$R$15^2)*(1-1.05*($R$17^1.26))))*'F(T,E)'!N58</f>
        <v>47.821940733889633</v>
      </c>
      <c r="N78" s="17">
        <f>1/$N$29-LN($N$29)+($S$16*EXP($S$16/($D$14*$S$15))/(($D$14*$S$15^2)*(1-1.05*($S$17^1.26))))*'F(T,E)'!O58</f>
        <v>-11.512905463108485</v>
      </c>
      <c r="O78" s="25"/>
      <c r="P78" s="20">
        <f t="shared" si="5"/>
        <v>85.029294993556746</v>
      </c>
      <c r="Q78" s="20">
        <f t="shared" si="6"/>
        <v>1.6102020279051964E-2</v>
      </c>
      <c r="R78" s="20">
        <f t="shared" si="7"/>
        <v>4.6203321608204818E-2</v>
      </c>
      <c r="S78" s="20">
        <f t="shared" si="8"/>
        <v>1.0002798618814017E-5</v>
      </c>
      <c r="T78" s="20">
        <f t="shared" si="9"/>
        <v>1.814518696762777E-2</v>
      </c>
      <c r="U78" s="20">
        <f t="shared" si="10"/>
        <v>0.16265910477185302</v>
      </c>
      <c r="V78" s="20">
        <f t="shared" si="11"/>
        <v>0.68328568841545667</v>
      </c>
      <c r="W78" s="20">
        <f t="shared" si="12"/>
        <v>0.24084091997562862</v>
      </c>
      <c r="X78" s="20">
        <f t="shared" si="13"/>
        <v>44.036912530520837</v>
      </c>
      <c r="Y78" s="20">
        <f t="shared" si="14"/>
        <v>1.0000100018117434E-5</v>
      </c>
      <c r="Z78" s="25"/>
      <c r="AA78" s="20">
        <f t="shared" si="16"/>
        <v>13.944029266566696</v>
      </c>
      <c r="AB78" s="20">
        <f t="shared" si="17"/>
        <v>62243.913173879002</v>
      </c>
      <c r="AC78" s="20">
        <f t="shared" si="18"/>
        <v>3077.7989524764193</v>
      </c>
      <c r="AD78" s="20">
        <f t="shared" si="19"/>
        <v>74.275803494809281</v>
      </c>
      <c r="AE78" s="20">
        <f t="shared" si="20"/>
        <v>0.70907787357755381</v>
      </c>
      <c r="AF78" s="20">
        <f t="shared" si="21"/>
        <v>9.0019182301673863E-3</v>
      </c>
      <c r="AG78" s="20">
        <f t="shared" si="22"/>
        <v>2.2541555337491243E-5</v>
      </c>
      <c r="AH78" s="20">
        <f t="shared" si="23"/>
        <v>9.5773497981957259E-8</v>
      </c>
      <c r="AI78" s="20">
        <f t="shared" si="24"/>
        <v>0</v>
      </c>
      <c r="AJ78" s="20">
        <v>50</v>
      </c>
      <c r="AK78" s="25"/>
      <c r="AL78" s="20">
        <f t="shared" si="25"/>
        <v>65460.650061545944</v>
      </c>
      <c r="AM78" s="25"/>
      <c r="AN78" s="20">
        <f t="shared" si="26"/>
        <v>183740.87526334199</v>
      </c>
      <c r="AO78" s="20">
        <f t="shared" si="27"/>
        <v>428.65006154594448</v>
      </c>
      <c r="AQ78" s="20">
        <f t="shared" si="28"/>
        <v>5.5915028415588393E-5</v>
      </c>
      <c r="AR78" s="20">
        <v>388</v>
      </c>
      <c r="AS78" s="20">
        <f t="shared" si="29"/>
        <v>-6.5913713486582676E-2</v>
      </c>
    </row>
    <row r="79" spans="2:45" x14ac:dyDescent="0.3">
      <c r="B79" s="32">
        <v>116</v>
      </c>
      <c r="C79" s="32">
        <v>67970</v>
      </c>
      <c r="D79" s="7">
        <f t="shared" si="15"/>
        <v>389</v>
      </c>
      <c r="E79" s="17">
        <f>1/$E$29-LN($E$29)+($J$16*EXP($J$16/($D$14*$J$15))/(($D$14*$J$15^2)*(1-1.05*($J$17^1.26))))*'F(T,E)'!F59</f>
        <v>97.184010842674468</v>
      </c>
      <c r="F79" s="17">
        <f>1/$F$29-LN($F$29)+($K$16*EXP($K$16/($D$14*$K$15))/(($D$14*$K$15^2)*(1-1.05*($K$17^1.26))))*'F(T,E)'!G59</f>
        <v>-4.0414239754116421</v>
      </c>
      <c r="G79" s="17">
        <f>1/$G$29-LN($G$29)+($L$16*EXP($L$16/($D$14*$L$15))/(($D$14*$L$15^2)*(1-1.05*($L$17^1.26))))*'F(T,E)'!H59</f>
        <v>-3.0267951447621582</v>
      </c>
      <c r="H79" s="17">
        <f>1/$H$29-LN($H$29)+($M$16*EXP($M$16/($D$14*$M$15))/(($D$14*$M$15^2)*(1-1.05*($M$17^1.26))))*'F(T,E)'!I59</f>
        <v>-11.512597830769367</v>
      </c>
      <c r="I79" s="17">
        <f>1/$I$29-LN($I$29)+($N$16*EXP($N$16/($D$14*$N$15))/(($D$14*$N$15^2)*(1-1.05*($N$17^1.26))))*'F(T,E)'!J59</f>
        <v>-3.9912045832774354</v>
      </c>
      <c r="J79" s="17">
        <f>1/$J$29-LN($J$29)+($O$16*EXP($O$16/($D$14*$O$15))/(($D$14*$O$15^2)*(1-1.05*($O$17^1.26))))*'F(T,E)'!K59</f>
        <v>-1.6534394325681279</v>
      </c>
      <c r="K79" s="17">
        <f>1/$K$29-LN($K$29)+($P$16*EXP($P$16/($D$14*$P$15))/(($D$14*$P$15^2)*(1-1.05*($P$17^1.26))))*'F(T,E)'!L59</f>
        <v>0.30244346642028919</v>
      </c>
      <c r="L79" s="17">
        <f>1/$L$29-LN($L$29)+($Q$16*EXP($Q$16/($D$14*$Q$15))/(($D$14*$Q$15^2)*(1-1.05*($Q$17^1.26))))*'F(T,E)'!M59</f>
        <v>-1.1827777265538493</v>
      </c>
      <c r="M79" s="17">
        <f>1/$M$29-LN($M$29)+($R$16*EXP($R$16/($D$14*$R$15))/(($D$14*$R$15^2)*(1-1.05*($R$17^1.26))))*'F(T,E)'!N59</f>
        <v>49.474774094777246</v>
      </c>
      <c r="N79" s="17">
        <f>1/$N$29-LN($N$29)+($S$16*EXP($S$16/($D$14*$S$15))/(($D$14*$S$15^2)*(1-1.05*($S$17^1.26))))*'F(T,E)'!O59</f>
        <v>-11.512905462866584</v>
      </c>
      <c r="O79" s="25"/>
      <c r="P79" s="20">
        <f t="shared" si="5"/>
        <v>92.655126558943465</v>
      </c>
      <c r="Q79" s="20">
        <f t="shared" si="6"/>
        <v>1.7271534964457547E-2</v>
      </c>
      <c r="R79" s="20">
        <f t="shared" si="7"/>
        <v>4.6278683288229566E-2</v>
      </c>
      <c r="S79" s="20">
        <f t="shared" si="8"/>
        <v>1.0003176814741212E-5</v>
      </c>
      <c r="T79" s="20">
        <f t="shared" si="9"/>
        <v>1.8145189891114126E-2</v>
      </c>
      <c r="U79" s="20">
        <f t="shared" si="10"/>
        <v>0.16265912052432777</v>
      </c>
      <c r="V79" s="20">
        <f t="shared" si="11"/>
        <v>0.68328568850619631</v>
      </c>
      <c r="W79" s="20">
        <f t="shared" si="12"/>
        <v>0.24084091997590806</v>
      </c>
      <c r="X79" s="20">
        <f t="shared" si="13"/>
        <v>45.653689665900565</v>
      </c>
      <c r="Y79" s="20">
        <f t="shared" si="14"/>
        <v>1.000010002053644E-5</v>
      </c>
      <c r="Z79" s="25"/>
      <c r="AA79" s="20">
        <f t="shared" si="16"/>
        <v>12.666596040703677</v>
      </c>
      <c r="AB79" s="20">
        <f t="shared" si="17"/>
        <v>63845.687629510037</v>
      </c>
      <c r="AC79" s="20">
        <f t="shared" si="18"/>
        <v>3411.7240772487944</v>
      </c>
      <c r="AD79" s="20">
        <f t="shared" si="19"/>
        <v>84.254747387780881</v>
      </c>
      <c r="AE79" s="20">
        <f t="shared" si="20"/>
        <v>0.8397635435745503</v>
      </c>
      <c r="AF79" s="20">
        <f t="shared" si="21"/>
        <v>1.0286424355272871E-2</v>
      </c>
      <c r="AG79" s="20">
        <f t="shared" si="22"/>
        <v>2.6858424543660995E-5</v>
      </c>
      <c r="AH79" s="20">
        <f t="shared" si="23"/>
        <v>1.1499560431751657E-7</v>
      </c>
      <c r="AI79" s="20">
        <f t="shared" si="24"/>
        <v>0</v>
      </c>
      <c r="AJ79" s="20">
        <v>50</v>
      </c>
      <c r="AK79" s="25"/>
      <c r="AL79" s="20">
        <f t="shared" si="25"/>
        <v>67405.18312712865</v>
      </c>
      <c r="AM79" s="25"/>
      <c r="AN79" s="20">
        <f t="shared" si="26"/>
        <v>319018.09988017066</v>
      </c>
      <c r="AO79" s="20">
        <f t="shared" si="27"/>
        <v>564.81687287134991</v>
      </c>
      <c r="AQ79" s="20">
        <f t="shared" si="28"/>
        <v>7.3677235417404097E-5</v>
      </c>
      <c r="AR79" s="20">
        <v>389</v>
      </c>
      <c r="AS79" s="20">
        <f t="shared" si="29"/>
        <v>8.3097965701243184E-2</v>
      </c>
    </row>
    <row r="80" spans="2:45" x14ac:dyDescent="0.3">
      <c r="B80" s="32">
        <v>118</v>
      </c>
      <c r="C80" s="32">
        <v>70016</v>
      </c>
      <c r="D80" s="7">
        <f t="shared" si="15"/>
        <v>391</v>
      </c>
      <c r="E80" s="17">
        <f>1/$E$29-LN($E$29)+($J$16*EXP($J$16/($D$14*$J$15))/(($D$14*$J$15^2)*(1-1.05*($J$17^1.26))))*'F(T,E)'!F60</f>
        <v>114.4397060953718</v>
      </c>
      <c r="F80" s="17">
        <f>1/$F$29-LN($F$29)+($K$16*EXP($K$16/($D$14*$K$15))/(($D$14*$K$15^2)*(1-1.05*($K$17^1.26))))*'F(T,E)'!G60</f>
        <v>-3.8765258096808508</v>
      </c>
      <c r="G80" s="17">
        <f>1/$G$29-LN($G$29)+($L$16*EXP($L$16/($D$14*$L$15))/(($D$14*$L$15^2)*(1-1.05*($L$17^1.26))))*'F(T,E)'!H60</f>
        <v>-3.0228023844140819</v>
      </c>
      <c r="H80" s="17">
        <f>1/$H$29-LN($H$29)+($M$16*EXP($M$16/($D$14*$M$15))/(($D$14*$M$15^2)*(1-1.05*($M$17^1.26))))*'F(T,E)'!I60</f>
        <v>-11.512506366348536</v>
      </c>
      <c r="I80" s="17">
        <f>1/$I$29-LN($I$29)+($N$16*EXP($N$16/($D$14*$N$15))/(($D$14*$N$15^2)*(1-1.05*($N$17^1.26))))*'F(T,E)'!J60</f>
        <v>-3.9912041594214429</v>
      </c>
      <c r="J80" s="17">
        <f>1/$J$29-LN($J$29)+($O$16*EXP($O$16/($D$14*$O$15))/(($D$14*$O$15^2)*(1-1.05*($O$17^1.26))))*'F(T,E)'!K60</f>
        <v>-1.6534391571366565</v>
      </c>
      <c r="K80" s="17">
        <f>1/$K$29-LN($K$29)+($P$16*EXP($P$16/($D$14*$P$15))/(($D$14*$P$15^2)*(1-1.05*($P$17^1.26))))*'F(T,E)'!L60</f>
        <v>0.30244346700328595</v>
      </c>
      <c r="L80" s="17">
        <f>1/$L$29-LN($L$29)+($Q$16*EXP($Q$16/($D$14*$Q$15))/(($D$14*$Q$15^2)*(1-1.05*($Q$17^1.26))))*'F(T,E)'!M60</f>
        <v>-1.1827777265500496</v>
      </c>
      <c r="M80" s="17">
        <f>1/$M$29-LN($M$29)+($R$16*EXP($R$16/($D$14*$R$15))/(($D$14*$R$15^2)*(1-1.05*($R$17^1.26))))*'F(T,E)'!N60</f>
        <v>52.894389380195165</v>
      </c>
      <c r="N80" s="17">
        <f>1/$N$29-LN($N$29)+($S$16*EXP($S$16/($D$14*$S$15))/(($D$14*$S$15^2)*(1-1.05*($S$17^1.26))))*'F(T,E)'!O60</f>
        <v>-11.512905462280457</v>
      </c>
      <c r="O80" s="25"/>
      <c r="P80" s="20">
        <f t="shared" si="5"/>
        <v>109.7415777863489</v>
      </c>
      <c r="Q80" s="20">
        <f t="shared" si="6"/>
        <v>2.0306140516100558E-2</v>
      </c>
      <c r="R80" s="20">
        <f t="shared" si="7"/>
        <v>4.6455612289540316E-2</v>
      </c>
      <c r="S80" s="20">
        <f t="shared" si="8"/>
        <v>1.0004091782204898E-5</v>
      </c>
      <c r="T80" s="20">
        <f t="shared" si="9"/>
        <v>1.8145197444996541E-2</v>
      </c>
      <c r="U80" s="20">
        <f t="shared" si="10"/>
        <v>0.16265915905793116</v>
      </c>
      <c r="V80" s="20">
        <f t="shared" si="11"/>
        <v>0.68328568874284856</v>
      </c>
      <c r="W80" s="20">
        <f t="shared" si="12"/>
        <v>0.24084091997664556</v>
      </c>
      <c r="X80" s="20">
        <f t="shared" si="13"/>
        <v>49.002517701736437</v>
      </c>
      <c r="Y80" s="20">
        <f t="shared" si="14"/>
        <v>1.0000100026397707E-5</v>
      </c>
      <c r="Z80" s="25"/>
      <c r="AA80" s="20">
        <f t="shared" si="16"/>
        <v>10.490503980062288</v>
      </c>
      <c r="AB80" s="20">
        <f t="shared" si="17"/>
        <v>65594.419210010237</v>
      </c>
      <c r="AC80" s="20">
        <f t="shared" si="18"/>
        <v>4183.029642354908</v>
      </c>
      <c r="AD80" s="20">
        <f t="shared" si="19"/>
        <v>108.20346871624558</v>
      </c>
      <c r="AE80" s="20">
        <f t="shared" si="20"/>
        <v>1.1747780670628056</v>
      </c>
      <c r="AF80" s="20">
        <f t="shared" si="21"/>
        <v>1.3403993818119986E-2</v>
      </c>
      <c r="AG80" s="20">
        <f t="shared" si="22"/>
        <v>3.8028230909393449E-5</v>
      </c>
      <c r="AH80" s="20">
        <f t="shared" si="23"/>
        <v>1.6532329603618993E-7</v>
      </c>
      <c r="AI80" s="20">
        <f t="shared" si="24"/>
        <v>0</v>
      </c>
      <c r="AJ80" s="20">
        <v>50</v>
      </c>
      <c r="AK80" s="25"/>
      <c r="AL80" s="20">
        <f t="shared" si="25"/>
        <v>69947.331045315892</v>
      </c>
      <c r="AM80" s="25"/>
      <c r="AN80" s="20">
        <f t="shared" si="26"/>
        <v>4715.4253374080818</v>
      </c>
      <c r="AO80" s="20">
        <f t="shared" si="27"/>
        <v>68.66895468410803</v>
      </c>
      <c r="AQ80" s="20">
        <f t="shared" si="28"/>
        <v>8.9574851303715614E-6</v>
      </c>
      <c r="AR80" s="20">
        <v>391</v>
      </c>
      <c r="AS80" s="20">
        <f t="shared" si="29"/>
        <v>9.8076089299742944E-3</v>
      </c>
    </row>
    <row r="81" spans="2:45" x14ac:dyDescent="0.3">
      <c r="B81" s="32">
        <v>120</v>
      </c>
      <c r="C81" s="32">
        <v>70444</v>
      </c>
      <c r="D81" s="7">
        <f t="shared" si="15"/>
        <v>393</v>
      </c>
      <c r="E81" s="17">
        <f>1/$E$29-LN($E$29)+($J$16*EXP($J$16/($D$14*$J$15))/(($D$14*$J$15^2)*(1-1.05*($J$17^1.26))))*'F(T,E)'!F61</f>
        <v>134.43744123142824</v>
      </c>
      <c r="F81" s="17">
        <f>1/$F$29-LN($F$29)+($K$16*EXP($K$16/($D$14*$K$15))/(($D$14*$K$15^2)*(1-1.05*($K$17^1.26))))*'F(T,E)'!G61</f>
        <v>-3.6769612725489291</v>
      </c>
      <c r="G81" s="17">
        <f>1/$G$29-LN($G$29)+($L$16*EXP($L$16/($D$14*$L$15))/(($D$14*$L$15^2)*(1-1.05*($L$17^1.26))))*'F(T,E)'!H61</f>
        <v>-3.0178929860348318</v>
      </c>
      <c r="H81" s="17">
        <f>1/$H$29-LN($H$29)+($M$16*EXP($M$16/($D$14*$M$15))/(($D$14*$M$15^2)*(1-1.05*($M$17^1.26))))*'F(T,E)'!I61</f>
        <v>-11.51238905231078</v>
      </c>
      <c r="I81" s="17">
        <f>1/$I$29-LN($I$29)+($N$16*EXP($N$16/($D$14*$N$15))/(($D$14*$N$15^2)*(1-1.05*($N$17^1.26))))*'F(T,E)'!J61</f>
        <v>-3.9912035675519335</v>
      </c>
      <c r="J81" s="17">
        <f>1/$J$29-LN($J$29)+($O$16*EXP($O$16/($D$14*$O$15))/(($D$14*$O$15^2)*(1-1.05*($O$17^1.26))))*'F(T,E)'!K61</f>
        <v>-1.6534387987423096</v>
      </c>
      <c r="K81" s="17">
        <f>1/$K$29-LN($K$29)+($P$16*EXP($P$16/($D$14*$P$15))/(($D$14*$P$15^2)*(1-1.05*($P$17^1.26))))*'F(T,E)'!L61</f>
        <v>0.30244346782717951</v>
      </c>
      <c r="L81" s="17">
        <f>1/$L$29-LN($L$29)+($Q$16*EXP($Q$16/($D$14*$Q$15))/(($D$14*$Q$15^2)*(1-1.05*($Q$17^1.26))))*'F(T,E)'!M61</f>
        <v>-1.182777726544598</v>
      </c>
      <c r="M81" s="17">
        <f>1/$M$29-LN($M$29)+($R$16*EXP($R$16/($D$14*$R$15))/(($D$14*$R$15^2)*(1-1.05*($R$17^1.26))))*'F(T,E)'!N61</f>
        <v>56.47035197547055</v>
      </c>
      <c r="N81" s="17">
        <f>1/$N$29-LN($N$29)+($S$16*EXP($S$16/($D$14*$S$15))/(($D$14*$S$15^2)*(1-1.05*($S$17^1.26))))*'F(T,E)'!O61</f>
        <v>-11.512905461527126</v>
      </c>
      <c r="O81" s="25"/>
      <c r="P81" s="20">
        <f t="shared" si="5"/>
        <v>129.57319529532654</v>
      </c>
      <c r="Q81" s="20">
        <f t="shared" si="6"/>
        <v>2.4682909882172345E-2</v>
      </c>
      <c r="R81" s="20">
        <f t="shared" si="7"/>
        <v>4.6674045863353934E-2</v>
      </c>
      <c r="S81" s="20">
        <f t="shared" si="8"/>
        <v>1.0005265459706756E-5</v>
      </c>
      <c r="T81" s="20">
        <f t="shared" si="9"/>
        <v>1.8145207993189669E-2</v>
      </c>
      <c r="U81" s="20">
        <f t="shared" si="10"/>
        <v>0.16265920919827573</v>
      </c>
      <c r="V81" s="20">
        <f t="shared" si="11"/>
        <v>0.6832856890772866</v>
      </c>
      <c r="W81" s="20">
        <f t="shared" si="12"/>
        <v>0.24084091997770368</v>
      </c>
      <c r="X81" s="20">
        <f t="shared" si="13"/>
        <v>52.509360526031827</v>
      </c>
      <c r="Y81" s="20">
        <f t="shared" si="14"/>
        <v>1.0000100033931023E-5</v>
      </c>
      <c r="Z81" s="25"/>
      <c r="AA81" s="20">
        <f t="shared" si="16"/>
        <v>8.7271158731602529</v>
      </c>
      <c r="AB81" s="20">
        <f t="shared" si="17"/>
        <v>64970.500731171247</v>
      </c>
      <c r="AC81" s="20">
        <f t="shared" si="18"/>
        <v>5113.1926687963169</v>
      </c>
      <c r="AD81" s="20">
        <f t="shared" si="19"/>
        <v>138.60233133042735</v>
      </c>
      <c r="AE81" s="20">
        <f t="shared" si="20"/>
        <v>1.6378367453756686</v>
      </c>
      <c r="AF81" s="20">
        <f t="shared" si="21"/>
        <v>1.7419423932616036E-2</v>
      </c>
      <c r="AG81" s="20">
        <f t="shared" si="22"/>
        <v>5.3653067156044624E-5</v>
      </c>
      <c r="AH81" s="20">
        <f t="shared" si="23"/>
        <v>2.3680030733639514E-7</v>
      </c>
      <c r="AI81" s="20">
        <f t="shared" si="24"/>
        <v>0</v>
      </c>
      <c r="AJ81" s="20">
        <v>50</v>
      </c>
      <c r="AK81" s="25"/>
      <c r="AL81" s="20">
        <f t="shared" si="25"/>
        <v>70282.678157230344</v>
      </c>
      <c r="AM81" s="25"/>
      <c r="AN81" s="20">
        <f t="shared" si="26"/>
        <v>26024.736954597494</v>
      </c>
      <c r="AO81" s="20">
        <f t="shared" si="27"/>
        <v>161.32184276965563</v>
      </c>
      <c r="AQ81" s="20">
        <f t="shared" si="28"/>
        <v>2.1043541647907924E-5</v>
      </c>
      <c r="AR81" s="20">
        <v>393</v>
      </c>
      <c r="AS81" s="20">
        <f t="shared" si="29"/>
        <v>2.2900721533367727E-2</v>
      </c>
    </row>
    <row r="82" spans="2:45" x14ac:dyDescent="0.3">
      <c r="B82" s="32">
        <v>121</v>
      </c>
      <c r="C82" s="32">
        <v>69592</v>
      </c>
      <c r="D82" s="7">
        <f t="shared" si="15"/>
        <v>394</v>
      </c>
      <c r="E82" s="17">
        <f>1/$E$29-LN($E$29)+($J$16*EXP($J$16/($D$14*$J$15))/(($D$14*$J$15^2)*(1-1.05*($J$17^1.26))))*'F(T,E)'!F62</f>
        <v>145.58787977466523</v>
      </c>
      <c r="F82" s="17">
        <f>1/$F$29-LN($F$29)+($K$16*EXP($K$16/($D$14*$K$15))/(($D$14*$K$15^2)*(1-1.05*($K$17^1.26))))*'F(T,E)'!G62</f>
        <v>-3.5620941989450845</v>
      </c>
      <c r="G82" s="17">
        <f>1/$G$29-LN($G$29)+($L$16*EXP($L$16/($D$14*$L$15))/(($D$14*$L$15^2)*(1-1.05*($L$17^1.26))))*'F(T,E)'!H62</f>
        <v>-3.0150342175787492</v>
      </c>
      <c r="H82" s="17">
        <f>1/$H$29-LN($H$29)+($M$16*EXP($M$16/($D$14*$M$15))/(($D$14*$M$15^2)*(1-1.05*($M$17^1.26))))*'F(T,E)'!I62</f>
        <v>-11.512318601358571</v>
      </c>
      <c r="I82" s="17">
        <f>1/$I$29-LN($I$29)+($N$16*EXP($N$16/($D$14*$N$15))/(($D$14*$N$15^2)*(1-1.05*($N$17^1.26))))*'F(T,E)'!J62</f>
        <v>-3.9912031894957738</v>
      </c>
      <c r="J82" s="17">
        <f>1/$J$29-LN($J$29)+($O$16*EXP($O$16/($D$14*$O$15))/(($D$14*$O$15^2)*(1-1.05*($O$17^1.26))))*'F(T,E)'!K62</f>
        <v>-1.6534385812478223</v>
      </c>
      <c r="K82" s="17">
        <f>1/$K$29-LN($K$29)+($P$16*EXP($P$16/($D$14*$P$15))/(($D$14*$P$15^2)*(1-1.05*($P$17^1.26))))*'F(T,E)'!L62</f>
        <v>0.30244346835801389</v>
      </c>
      <c r="L82" s="17">
        <f>1/$L$29-LN($L$29)+($Q$16*EXP($Q$16/($D$14*$Q$15))/(($D$14*$Q$15^2)*(1-1.05*($Q$17^1.26))))*'F(T,E)'!M62</f>
        <v>-1.1827777265410468</v>
      </c>
      <c r="M82" s="17">
        <f>1/$M$29-LN($M$29)+($R$16*EXP($R$16/($D$14*$R$15))/(($D$14*$R$15^2)*(1-1.05*($R$17^1.26))))*'F(T,E)'!N62</f>
        <v>58.318646794617919</v>
      </c>
      <c r="N82" s="17">
        <f>1/$N$29-LN($N$29)+($S$16*EXP($S$16/($D$14*$S$15))/(($D$14*$S$15^2)*(1-1.05*($S$17^1.26))))*'F(T,E)'!O62</f>
        <v>-11.512905461074045</v>
      </c>
      <c r="O82" s="25"/>
      <c r="P82" s="20">
        <f t="shared" si="5"/>
        <v>140.64166450557673</v>
      </c>
      <c r="Q82" s="20">
        <f t="shared" si="6"/>
        <v>2.7606589400873578E-2</v>
      </c>
      <c r="R82" s="20">
        <f t="shared" si="7"/>
        <v>4.6801692594058961E-2</v>
      </c>
      <c r="S82" s="20">
        <f t="shared" si="8"/>
        <v>1.0005970357962646E-5</v>
      </c>
      <c r="T82" s="20">
        <f t="shared" si="9"/>
        <v>1.8145214730842459E-2</v>
      </c>
      <c r="U82" s="20">
        <f t="shared" si="10"/>
        <v>0.1626592396263529</v>
      </c>
      <c r="V82" s="20">
        <f t="shared" si="11"/>
        <v>0.68328568929276479</v>
      </c>
      <c r="W82" s="20">
        <f t="shared" si="12"/>
        <v>0.24084091997839294</v>
      </c>
      <c r="X82" s="20">
        <f t="shared" si="13"/>
        <v>54.323686448274891</v>
      </c>
      <c r="Y82" s="20">
        <f t="shared" si="14"/>
        <v>1.0000100038461834E-5</v>
      </c>
      <c r="Z82" s="25"/>
      <c r="AA82" s="20">
        <f t="shared" si="16"/>
        <v>7.9721051392596562</v>
      </c>
      <c r="AB82" s="20">
        <f t="shared" si="17"/>
        <v>63648.338496477882</v>
      </c>
      <c r="AC82" s="20">
        <f t="shared" si="18"/>
        <v>5646.4769501828141</v>
      </c>
      <c r="AD82" s="20">
        <f t="shared" si="19"/>
        <v>156.71859141319004</v>
      </c>
      <c r="AE82" s="20">
        <f t="shared" si="20"/>
        <v>1.9314280857626527</v>
      </c>
      <c r="AF82" s="20">
        <f t="shared" si="21"/>
        <v>1.9838110706362964E-2</v>
      </c>
      <c r="AG82" s="20">
        <f t="shared" si="22"/>
        <v>6.3645785608118589E-5</v>
      </c>
      <c r="AH82" s="20">
        <f t="shared" si="23"/>
        <v>2.8301683689462028E-7</v>
      </c>
      <c r="AI82" s="20">
        <f t="shared" si="24"/>
        <v>0</v>
      </c>
      <c r="AJ82" s="20">
        <v>50</v>
      </c>
      <c r="AK82" s="25"/>
      <c r="AL82" s="20">
        <f t="shared" si="25"/>
        <v>69511.457473338422</v>
      </c>
      <c r="AM82" s="25"/>
      <c r="AN82" s="20">
        <f t="shared" si="26"/>
        <v>6487.0986010310753</v>
      </c>
      <c r="AO82" s="20">
        <f t="shared" si="27"/>
        <v>80.542526661578449</v>
      </c>
      <c r="AQ82" s="20">
        <f t="shared" si="28"/>
        <v>1.0506326887492437E-5</v>
      </c>
      <c r="AR82" s="20">
        <v>394</v>
      </c>
      <c r="AS82" s="20">
        <f t="shared" si="29"/>
        <v>1.1573532397628815E-2</v>
      </c>
    </row>
    <row r="83" spans="2:45" x14ac:dyDescent="0.3">
      <c r="B83" s="32">
        <v>123</v>
      </c>
      <c r="C83" s="32">
        <v>67006</v>
      </c>
      <c r="D83" s="7">
        <f t="shared" si="15"/>
        <v>396</v>
      </c>
      <c r="E83" s="17">
        <f>1/$E$29-LN($E$29)+($J$16*EXP($J$16/($D$14*$J$15))/(($D$14*$J$15^2)*(1-1.05*($J$17^1.26))))*'F(T,E)'!F63</f>
        <v>170.46708599348125</v>
      </c>
      <c r="F83" s="17">
        <f>1/$F$29-LN($F$29)+($K$16*EXP($K$16/($D$14*$K$15))/(($D$14*$K$15^2)*(1-1.05*($K$17^1.26))))*'F(T,E)'!G63</f>
        <v>-3.2973593786687871</v>
      </c>
      <c r="G83" s="17">
        <f>1/$G$29-LN($G$29)+($L$16*EXP($L$16/($D$14*$L$15))/(($D$14*$L$15^2)*(1-1.05*($L$17^1.26))))*'F(T,E)'!H63</f>
        <v>-3.0083668166072082</v>
      </c>
      <c r="H83" s="17">
        <f>1/$H$29-LN($H$29)+($M$16*EXP($M$16/($D$14*$M$15))/(($D$14*$M$15^2)*(1-1.05*($M$17^1.26))))*'F(T,E)'!I63</f>
        <v>-11.512148994078755</v>
      </c>
      <c r="I83" s="17">
        <f>1/$I$29-LN($I$29)+($N$16*EXP($N$16/($D$14*$N$15))/(($D$14*$N$15^2)*(1-1.05*($N$17^1.26))))*'F(T,E)'!J63</f>
        <v>-3.9912022190191645</v>
      </c>
      <c r="J83" s="17">
        <f>1/$J$29-LN($J$29)+($O$16*EXP($O$16/($D$14*$O$15))/(($D$14*$O$15^2)*(1-1.05*($O$17^1.26))))*'F(T,E)'!K63</f>
        <v>-1.6534380519357605</v>
      </c>
      <c r="K83" s="17">
        <f>1/$K$29-LN($K$29)+($P$16*EXP($P$16/($D$14*$P$15))/(($D$14*$P$15^2)*(1-1.05*($P$17^1.26))))*'F(T,E)'!L63</f>
        <v>0.302443469733093</v>
      </c>
      <c r="L83" s="17">
        <f>1/$L$29-LN($L$29)+($Q$16*EXP($Q$16/($D$14*$Q$15))/(($D$14*$Q$15^2)*(1-1.05*($Q$17^1.26))))*'F(T,E)'!M63</f>
        <v>-1.1827777265317414</v>
      </c>
      <c r="M83" s="17">
        <f>1/$M$29-LN($M$29)+($R$16*EXP($R$16/($D$14*$R$15))/(($D$14*$R$15^2)*(1-1.05*($R$17^1.26))))*'F(T,E)'!N63</f>
        <v>62.13929399545377</v>
      </c>
      <c r="N83" s="17">
        <f>1/$N$29-LN($N$29)+($S$16*EXP($S$16/($D$14*$S$15))/(($D$14*$S$15^2)*(1-1.05*($S$17^1.26))))*'F(T,E)'!O63</f>
        <v>-11.512905459981573</v>
      </c>
      <c r="O83" s="25"/>
      <c r="P83" s="20">
        <f t="shared" si="5"/>
        <v>165.3589673231493</v>
      </c>
      <c r="Q83" s="20">
        <f t="shared" si="6"/>
        <v>3.5684327018361744E-2</v>
      </c>
      <c r="R83" s="20">
        <f t="shared" si="7"/>
        <v>4.7100695477834097E-2</v>
      </c>
      <c r="S83" s="20">
        <f t="shared" si="8"/>
        <v>1.0007667570318992E-5</v>
      </c>
      <c r="T83" s="20">
        <f t="shared" si="9"/>
        <v>1.8145232026523329E-2</v>
      </c>
      <c r="U83" s="20">
        <f t="shared" si="10"/>
        <v>0.16265931367858716</v>
      </c>
      <c r="V83" s="20">
        <f t="shared" si="11"/>
        <v>0.68328568985094218</v>
      </c>
      <c r="W83" s="20">
        <f t="shared" si="12"/>
        <v>0.2408409199801991</v>
      </c>
      <c r="X83" s="20">
        <f t="shared" si="13"/>
        <v>58.077515404697017</v>
      </c>
      <c r="Y83" s="20">
        <f t="shared" si="14"/>
        <v>1.0000100049386553E-5</v>
      </c>
      <c r="Z83" s="25"/>
      <c r="AA83" s="20">
        <f t="shared" si="16"/>
        <v>6.6711528775608731</v>
      </c>
      <c r="AB83" s="20">
        <f t="shared" si="17"/>
        <v>58904.843785626275</v>
      </c>
      <c r="AC83" s="20">
        <f t="shared" si="18"/>
        <v>6868.5510893944729</v>
      </c>
      <c r="AD83" s="20">
        <f t="shared" si="19"/>
        <v>199.98583001612474</v>
      </c>
      <c r="AE83" s="20">
        <f t="shared" si="20"/>
        <v>2.6792259569823238</v>
      </c>
      <c r="AF83" s="20">
        <f t="shared" si="21"/>
        <v>2.5678979251555812E-2</v>
      </c>
      <c r="AG83" s="20">
        <f t="shared" si="22"/>
        <v>8.9329721750011832E-5</v>
      </c>
      <c r="AH83" s="20">
        <f t="shared" si="23"/>
        <v>4.0318012302234723E-7</v>
      </c>
      <c r="AI83" s="20">
        <f t="shared" si="24"/>
        <v>0</v>
      </c>
      <c r="AJ83" s="20">
        <v>50</v>
      </c>
      <c r="AK83" s="25"/>
      <c r="AL83" s="20">
        <f t="shared" si="25"/>
        <v>66032.756852583567</v>
      </c>
      <c r="AM83" s="25"/>
      <c r="AN83" s="20">
        <f t="shared" si="26"/>
        <v>947202.22399304516</v>
      </c>
      <c r="AO83" s="20">
        <f t="shared" si="27"/>
        <v>973.2431474164332</v>
      </c>
      <c r="AQ83" s="20">
        <f t="shared" si="28"/>
        <v>1.2695418273545191E-4</v>
      </c>
      <c r="AR83" s="20">
        <v>396</v>
      </c>
      <c r="AS83" s="20">
        <f t="shared" si="29"/>
        <v>0.14524716404746338</v>
      </c>
    </row>
    <row r="84" spans="2:45" x14ac:dyDescent="0.3">
      <c r="B84" s="32">
        <v>124</v>
      </c>
      <c r="C84" s="32">
        <v>63174</v>
      </c>
      <c r="D84" s="7">
        <f t="shared" si="15"/>
        <v>397</v>
      </c>
      <c r="E84" s="17">
        <f>1/$E$29-LN($E$29)+($J$16*EXP($J$16/($D$14*$J$15))/(($D$14*$J$15^2)*(1-1.05*($J$17^1.26))))*'F(T,E)'!F64</f>
        <v>184.31665701267309</v>
      </c>
      <c r="F84" s="17">
        <f>1/$F$29-LN($F$29)+($K$16*EXP($K$16/($D$14*$K$15))/(($D$14*$K$15^2)*(1-1.05*($K$17^1.26))))*'F(T,E)'!G64</f>
        <v>-3.1453023113468506</v>
      </c>
      <c r="G84" s="17">
        <f>1/$G$29-LN($G$29)+($L$16*EXP($L$16/($D$14*$L$15))/(($D$14*$L$15^2)*(1-1.05*($L$17^1.26))))*'F(T,E)'!H64</f>
        <v>-3.0044932070949275</v>
      </c>
      <c r="H84" s="17">
        <f>1/$H$29-LN($H$29)+($M$16*EXP($M$16/($D$14*$M$15))/(($D$14*$M$15^2)*(1-1.05*($M$17^1.26))))*'F(T,E)'!I64</f>
        <v>-11.512047417946683</v>
      </c>
      <c r="I84" s="17">
        <f>1/$I$29-LN($I$29)+($N$16*EXP($N$16/($D$14*$N$15))/(($D$14*$N$15^2)*(1-1.05*($N$17^1.26))))*'F(T,E)'!J64</f>
        <v>-3.9912016013854443</v>
      </c>
      <c r="J84" s="17">
        <f>1/$J$29-LN($J$29)+($O$16*EXP($O$16/($D$14*$O$15))/(($D$14*$O$15^2)*(1-1.05*($O$17^1.26))))*'F(T,E)'!K64</f>
        <v>-1.6534377316468105</v>
      </c>
      <c r="K84" s="17">
        <f>1/$K$29-LN($K$29)+($P$16*EXP($P$16/($D$14*$P$15))/(($D$14*$P$15^2)*(1-1.05*($P$17^1.26))))*'F(T,E)'!L64</f>
        <v>0.30244347061571758</v>
      </c>
      <c r="L84" s="17">
        <f>1/$L$29-LN($L$29)+($Q$16*EXP($Q$16/($D$14*$Q$15))/(($D$14*$Q$15^2)*(1-1.05*($Q$17^1.26))))*'F(T,E)'!M64</f>
        <v>-1.1827777265257036</v>
      </c>
      <c r="M84" s="17">
        <f>1/$M$29-LN($M$29)+($R$16*EXP($R$16/($D$14*$R$15))/(($D$14*$R$15^2)*(1-1.05*($R$17^1.26))))*'F(T,E)'!N64</f>
        <v>64.113040580434131</v>
      </c>
      <c r="N84" s="17">
        <f>1/$N$29-LN($N$29)+($S$16*EXP($S$16/($D$14*$S$15))/(($D$14*$S$15^2)*(1-1.05*($S$17^1.26))))*'F(T,E)'!O64</f>
        <v>-11.51290545932633</v>
      </c>
      <c r="O84" s="25"/>
      <c r="P84" s="20">
        <f t="shared" si="5"/>
        <v>179.12855328979313</v>
      </c>
      <c r="Q84" s="20">
        <f t="shared" si="6"/>
        <v>4.1311522060539847E-2</v>
      </c>
      <c r="R84" s="20">
        <f t="shared" si="7"/>
        <v>4.7275246350306714E-2</v>
      </c>
      <c r="S84" s="20">
        <f t="shared" si="8"/>
        <v>1.0008684151937068E-5</v>
      </c>
      <c r="T84" s="20">
        <f t="shared" si="9"/>
        <v>1.8145243033902376E-2</v>
      </c>
      <c r="U84" s="20">
        <f t="shared" si="10"/>
        <v>0.16265935848791893</v>
      </c>
      <c r="V84" s="20">
        <f t="shared" si="11"/>
        <v>0.68328569020922048</v>
      </c>
      <c r="W84" s="20">
        <f t="shared" si="12"/>
        <v>0.240840919981371</v>
      </c>
      <c r="X84" s="20">
        <f t="shared" si="13"/>
        <v>60.018389572299711</v>
      </c>
      <c r="Y84" s="20">
        <f t="shared" si="14"/>
        <v>1.0000100055938982E-5</v>
      </c>
      <c r="Z84" s="25"/>
      <c r="AA84" s="20">
        <f t="shared" si="16"/>
        <v>6.1106671058623547</v>
      </c>
      <c r="AB84" s="20">
        <f t="shared" si="17"/>
        <v>55527.964005578957</v>
      </c>
      <c r="AC84" s="20">
        <f t="shared" si="18"/>
        <v>7565.5853691287266</v>
      </c>
      <c r="AD84" s="20">
        <f t="shared" si="19"/>
        <v>225.69969359403757</v>
      </c>
      <c r="AE84" s="20">
        <f t="shared" si="20"/>
        <v>3.1516476990800628</v>
      </c>
      <c r="AF84" s="20">
        <f t="shared" si="21"/>
        <v>2.9187237286463635E-2</v>
      </c>
      <c r="AG84" s="20">
        <f t="shared" si="22"/>
        <v>1.0569461842582876E-4</v>
      </c>
      <c r="AH84" s="20">
        <f t="shared" si="23"/>
        <v>4.8057574999990219E-7</v>
      </c>
      <c r="AI84" s="20">
        <f t="shared" si="24"/>
        <v>0</v>
      </c>
      <c r="AJ84" s="20">
        <v>50</v>
      </c>
      <c r="AK84" s="25"/>
      <c r="AL84" s="20">
        <f t="shared" si="25"/>
        <v>63378.540676519144</v>
      </c>
      <c r="AM84" s="25"/>
      <c r="AN84" s="20">
        <f t="shared" si="26"/>
        <v>41836.888350909001</v>
      </c>
      <c r="AO84" s="20">
        <f t="shared" si="27"/>
        <v>204.54067651914374</v>
      </c>
      <c r="AQ84" s="20">
        <f t="shared" si="28"/>
        <v>2.6681199341168746E-5</v>
      </c>
      <c r="AR84" s="20">
        <v>397</v>
      </c>
      <c r="AS84" s="20">
        <f t="shared" si="29"/>
        <v>-3.2377350891053876E-2</v>
      </c>
    </row>
    <row r="85" spans="2:45" x14ac:dyDescent="0.3">
      <c r="B85" s="32">
        <v>125</v>
      </c>
      <c r="C85" s="32">
        <v>58100</v>
      </c>
      <c r="D85" s="7">
        <f t="shared" si="15"/>
        <v>398</v>
      </c>
      <c r="E85" s="17">
        <f>1/$E$29-LN($E$29)+($J$16*EXP($J$16/($D$14*$J$15))/(($D$14*$J$15^2)*(1-1.05*($J$17^1.26))))*'F(T,E)'!F65</f>
        <v>199.19319094457134</v>
      </c>
      <c r="F85" s="17">
        <f>1/$F$29-LN($F$29)+($K$16*EXP($K$16/($D$14*$K$15))/(($D$14*$K$15^2)*(1-1.05*($K$17^1.26))))*'F(T,E)'!G65</f>
        <v>-2.9785001860293265</v>
      </c>
      <c r="G85" s="17">
        <f>1/$G$29-LN($G$29)+($L$16*EXP($L$16/($D$14*$L$15))/(($D$14*$L$15^2)*(1-1.05*($L$17^1.26))))*'F(T,E)'!H65</f>
        <v>-3.0002111531186686</v>
      </c>
      <c r="H85" s="17">
        <f>1/$H$29-LN($H$29)+($M$16*EXP($M$16/($D$14*$M$15))/(($D$14*$M$15^2)*(1-1.05*($M$17^1.26))))*'F(T,E)'!I65</f>
        <v>-11.511932806794443</v>
      </c>
      <c r="I85" s="17">
        <f>1/$I$29-LN($I$29)+($N$16*EXP($N$16/($D$14*$N$15))/(($D$14*$N$15^2)*(1-1.05*($N$17^1.26))))*'F(T,E)'!J65</f>
        <v>-3.9912008751554233</v>
      </c>
      <c r="J85" s="17">
        <f>1/$J$29-LN($J$29)+($O$16*EXP($O$16/($D$14*$O$15))/(($D$14*$O$15^2)*(1-1.05*($O$17^1.26))))*'F(T,E)'!K65</f>
        <v>-1.6534373677239635</v>
      </c>
      <c r="K85" s="17">
        <f>1/$K$29-LN($K$29)+($P$16*EXP($P$16/($D$14*$P$15))/(($D$14*$P$15^2)*(1-1.05*($P$17^1.26))))*'F(T,E)'!L65</f>
        <v>0.30244347165957469</v>
      </c>
      <c r="L85" s="17">
        <f>1/$L$29-LN($L$29)+($Q$16*EXP($Q$16/($D$14*$Q$15))/(($D$14*$Q$15^2)*(1-1.05*($Q$17^1.26))))*'F(T,E)'!M65</f>
        <v>-1.18277772651851</v>
      </c>
      <c r="M85" s="17">
        <f>1/$M$29-LN($M$29)+($R$16*EXP($R$16/($D$14*$R$15))/(($D$14*$R$15^2)*(1-1.05*($R$17^1.26))))*'F(T,E)'!N65</f>
        <v>66.130010873547917</v>
      </c>
      <c r="N85" s="17">
        <f>1/$N$29-LN($N$29)+($S$16*EXP($S$16/($D$14*$S$15))/(($D$14*$S$15^2)*(1-1.05*($S$17^1.26))))*'F(T,E)'!O65</f>
        <v>-11.51290545858626</v>
      </c>
      <c r="O85" s="25"/>
      <c r="P85" s="20">
        <f t="shared" si="5"/>
        <v>193.9257157672524</v>
      </c>
      <c r="Q85" s="20">
        <f t="shared" si="6"/>
        <v>4.8462605847464035E-2</v>
      </c>
      <c r="R85" s="20">
        <f t="shared" si="7"/>
        <v>4.7468921122536013E-2</v>
      </c>
      <c r="S85" s="20">
        <f t="shared" si="8"/>
        <v>1.0009831313015366E-5</v>
      </c>
      <c r="T85" s="20">
        <f t="shared" si="9"/>
        <v>1.8145255976677422E-2</v>
      </c>
      <c r="U85" s="20">
        <f t="shared" si="10"/>
        <v>0.16265940940176946</v>
      </c>
      <c r="V85" s="20">
        <f t="shared" si="11"/>
        <v>0.68328569063294697</v>
      </c>
      <c r="W85" s="20">
        <f t="shared" si="12"/>
        <v>0.24084091998276722</v>
      </c>
      <c r="X85" s="20">
        <f t="shared" si="13"/>
        <v>62.00283083098094</v>
      </c>
      <c r="Y85" s="20">
        <f t="shared" si="14"/>
        <v>1.0000100063339676E-5</v>
      </c>
      <c r="Z85" s="25"/>
      <c r="AA85" s="20">
        <f t="shared" si="16"/>
        <v>5.601908605935856</v>
      </c>
      <c r="AB85" s="20">
        <f t="shared" si="17"/>
        <v>51559.542726865271</v>
      </c>
      <c r="AC85" s="20">
        <f t="shared" si="18"/>
        <v>8325.7538007734347</v>
      </c>
      <c r="AD85" s="20">
        <f t="shared" si="19"/>
        <v>254.56157702848375</v>
      </c>
      <c r="AE85" s="20">
        <f t="shared" si="20"/>
        <v>3.7043458342222944</v>
      </c>
      <c r="AF85" s="20">
        <f t="shared" si="21"/>
        <v>3.3153450005825716E-2</v>
      </c>
      <c r="AG85" s="20">
        <f t="shared" si="22"/>
        <v>1.2495183807295122E-4</v>
      </c>
      <c r="AH85" s="20">
        <f t="shared" si="23"/>
        <v>5.7232321427904785E-7</v>
      </c>
      <c r="AI85" s="20">
        <f t="shared" si="24"/>
        <v>0</v>
      </c>
      <c r="AJ85" s="20">
        <v>50</v>
      </c>
      <c r="AK85" s="25"/>
      <c r="AL85" s="20">
        <f t="shared" si="25"/>
        <v>60199.197638081525</v>
      </c>
      <c r="AM85" s="25"/>
      <c r="AN85" s="20">
        <f t="shared" si="26"/>
        <v>4406630.723727053</v>
      </c>
      <c r="AO85" s="20">
        <f t="shared" si="27"/>
        <v>2099.1976380815249</v>
      </c>
      <c r="AQ85" s="20">
        <f t="shared" si="28"/>
        <v>2.7382871510607163E-4</v>
      </c>
      <c r="AR85" s="20">
        <v>398</v>
      </c>
      <c r="AS85" s="20">
        <f t="shared" si="29"/>
        <v>-0.36130768297444493</v>
      </c>
    </row>
    <row r="86" spans="2:45" x14ac:dyDescent="0.3">
      <c r="B86" s="32">
        <v>127</v>
      </c>
      <c r="C86" s="32">
        <v>52018</v>
      </c>
      <c r="D86" s="7">
        <f t="shared" si="15"/>
        <v>400</v>
      </c>
      <c r="E86" s="17">
        <f>1/$E$29-LN($E$29)+($J$16*EXP($J$16/($D$14*$J$15))/(($D$14*$J$15^2)*(1-1.05*($J$17^1.26))))*'F(T,E)'!F66</f>
        <v>232.31321257785177</v>
      </c>
      <c r="F86" s="17">
        <f>1/$F$29-LN($F$29)+($K$16*EXP($K$16/($D$14*$K$15))/(($D$14*$K$15^2)*(1-1.05*($K$17^1.26))))*'F(T,E)'!G66</f>
        <v>-2.5951666621180087</v>
      </c>
      <c r="G86" s="17">
        <f>1/$G$29-LN($G$29)+($L$16*EXP($L$16/($D$14*$L$15))/(($D$14*$L$15^2)*(1-1.05*($L$17^1.26))))*'F(T,E)'!H66</f>
        <v>-2.9902551559227786</v>
      </c>
      <c r="H86" s="17">
        <f>1/$H$29-LN($H$29)+($M$16*EXP($M$16/($D$14*$M$15))/(($D$14*$M$15^2)*(1-1.05*($M$17^1.26))))*'F(T,E)'!I66</f>
        <v>-11.511657916475471</v>
      </c>
      <c r="I86" s="17">
        <f>1/$I$29-LN($I$29)+($N$16*EXP($N$16/($D$14*$N$15))/(($D$14*$N$15^2)*(1-1.05*($N$17^1.26))))*'F(T,E)'!J66</f>
        <v>-3.9911990203061509</v>
      </c>
      <c r="J86" s="17">
        <f>1/$J$29-LN($J$29)+($O$16*EXP($O$16/($D$14*$O$15))/(($D$14*$O$15^2)*(1-1.05*($O$17^1.26))))*'F(T,E)'!K66</f>
        <v>-1.653436485554665</v>
      </c>
      <c r="K86" s="17">
        <f>1/$K$29-LN($K$29)+($P$16*EXP($P$16/($D$14*$P$15))/(($D$14*$P$15^2)*(1-1.05*($P$17^1.26))))*'F(T,E)'!L66</f>
        <v>0.30244347434946506</v>
      </c>
      <c r="L86" s="17">
        <f>1/$L$29-LN($L$29)+($Q$16*EXP($Q$16/($D$14*$Q$15))/(($D$14*$Q$15^2)*(1-1.05*($Q$17^1.26))))*'F(T,E)'!M66</f>
        <v>-1.182777726499763</v>
      </c>
      <c r="M86" s="17">
        <f>1/$M$29-LN($M$29)+($R$16*EXP($R$16/($D$14*$R$15))/(($D$14*$R$15^2)*(1-1.05*($R$17^1.26))))*'F(T,E)'!N66</f>
        <v>70.296491936015883</v>
      </c>
      <c r="N86" s="17">
        <f>1/$N$29-LN($N$29)+($S$16*EXP($S$16/($D$14*$S$15))/(($D$14*$S$15^2)*(1-1.05*($S$17^1.26))))*'F(T,E)'!O66</f>
        <v>-11.512905456808525</v>
      </c>
      <c r="O86" s="25"/>
      <c r="P86" s="20">
        <f t="shared" si="5"/>
        <v>226.88875275645958</v>
      </c>
      <c r="Q86" s="20">
        <f t="shared" si="6"/>
        <v>6.9614580566462247E-2</v>
      </c>
      <c r="R86" s="20">
        <f t="shared" si="7"/>
        <v>4.7922157034038675E-2</v>
      </c>
      <c r="S86" s="20">
        <f t="shared" si="8"/>
        <v>1.0012583269413203E-5</v>
      </c>
      <c r="T86" s="20">
        <f t="shared" si="9"/>
        <v>1.8145289033596128E-2</v>
      </c>
      <c r="U86" s="20">
        <f t="shared" si="10"/>
        <v>0.1626595328198425</v>
      </c>
      <c r="V86" s="20">
        <f t="shared" si="11"/>
        <v>0.68328569172483733</v>
      </c>
      <c r="W86" s="20">
        <f t="shared" si="12"/>
        <v>0.24084091998640592</v>
      </c>
      <c r="X86" s="20">
        <f t="shared" si="13"/>
        <v>66.105243860079767</v>
      </c>
      <c r="Y86" s="20">
        <f t="shared" si="14"/>
        <v>1.0000100081117029E-5</v>
      </c>
      <c r="Z86" s="25"/>
      <c r="AA86" s="20">
        <f t="shared" si="16"/>
        <v>4.7189865877910311</v>
      </c>
      <c r="AB86" s="20">
        <f t="shared" si="17"/>
        <v>42261.991020163601</v>
      </c>
      <c r="AC86" s="20">
        <f t="shared" si="18"/>
        <v>10053.815926625935</v>
      </c>
      <c r="AD86" s="20">
        <f t="shared" si="19"/>
        <v>323.23033414479539</v>
      </c>
      <c r="AE86" s="20">
        <f t="shared" si="20"/>
        <v>5.1051259227061054</v>
      </c>
      <c r="AF86" s="20">
        <f t="shared" si="21"/>
        <v>4.2694320284987958E-2</v>
      </c>
      <c r="AG86" s="20">
        <f t="shared" si="22"/>
        <v>1.741934617534083E-4</v>
      </c>
      <c r="AH86" s="20">
        <f t="shared" si="23"/>
        <v>8.0958450657443854E-7</v>
      </c>
      <c r="AI86" s="20">
        <f t="shared" si="24"/>
        <v>0</v>
      </c>
      <c r="AJ86" s="20">
        <v>50</v>
      </c>
      <c r="AK86" s="25"/>
      <c r="AL86" s="20">
        <f t="shared" si="25"/>
        <v>52698.904262768163</v>
      </c>
      <c r="AM86" s="25"/>
      <c r="AN86" s="20">
        <f t="shared" si="26"/>
        <v>463630.61505585542</v>
      </c>
      <c r="AO86" s="20">
        <f t="shared" si="27"/>
        <v>680.90426276816288</v>
      </c>
      <c r="AQ86" s="20">
        <f t="shared" si="28"/>
        <v>8.8820193011674846E-5</v>
      </c>
      <c r="AR86" s="20">
        <v>400</v>
      </c>
      <c r="AS86" s="20">
        <f t="shared" si="29"/>
        <v>-0.13089781667272155</v>
      </c>
    </row>
    <row r="87" spans="2:45" x14ac:dyDescent="0.3">
      <c r="B87" s="32">
        <v>128</v>
      </c>
      <c r="C87" s="32">
        <v>45972</v>
      </c>
      <c r="D87" s="7">
        <f t="shared" si="15"/>
        <v>401</v>
      </c>
      <c r="E87" s="17">
        <f>1/$E$29-LN($E$29)+($J$16*EXP($J$16/($D$14*$J$15))/(($D$14*$J$15^2)*(1-1.05*($J$17^1.26))))*'F(T,E)'!F67</f>
        <v>250.71104089961133</v>
      </c>
      <c r="F87" s="17">
        <f>1/$F$29-LN($F$29)+($K$16*EXP($K$16/($D$14*$K$15))/(($D$14*$K$15^2)*(1-1.05*($K$17^1.26))))*'F(T,E)'!G67</f>
        <v>-2.3755922282848307</v>
      </c>
      <c r="G87" s="17">
        <f>1/$G$29-LN($G$29)+($L$16*EXP($L$16/($D$14*$L$15))/(($D$14*$L$15^2)*(1-1.05*($L$17^1.26))))*'F(T,E)'!H67</f>
        <v>-2.9844880719025486</v>
      </c>
      <c r="H87" s="17">
        <f>1/$H$29-LN($H$29)+($M$16*EXP($M$16/($D$14*$M$15))/(($D$14*$M$15^2)*(1-1.05*($M$17^1.26))))*'F(T,E)'!I67</f>
        <v>-11.511493872129885</v>
      </c>
      <c r="I87" s="17">
        <f>1/$I$29-LN($I$29)+($N$16*EXP($N$16/($D$14*$N$15))/(($D$14*$N$15^2)*(1-1.05*($N$17^1.26))))*'F(T,E)'!J67</f>
        <v>-3.9911978454188763</v>
      </c>
      <c r="J87" s="17">
        <f>1/$J$29-LN($J$29)+($O$16*EXP($O$16/($D$14*$O$15))/(($D$14*$O$15^2)*(1-1.05*($O$17^1.26))))*'F(T,E)'!K67</f>
        <v>-1.6534359537533934</v>
      </c>
      <c r="K87" s="17">
        <f>1/$K$29-LN($K$29)+($P$16*EXP($P$16/($D$14*$P$15))/(($D$14*$P$15^2)*(1-1.05*($P$17^1.26))))*'F(T,E)'!L67</f>
        <v>0.30244347606758287</v>
      </c>
      <c r="L87" s="17">
        <f>1/$L$29-LN($L$29)+($Q$16*EXP($Q$16/($D$14*$Q$15))/(($D$14*$Q$15^2)*(1-1.05*($Q$17^1.26))))*'F(T,E)'!M67</f>
        <v>-1.1827777264876611</v>
      </c>
      <c r="M87" s="17">
        <f>1/$M$29-LN($M$29)+($R$16*EXP($R$16/($D$14*$R$15))/(($D$14*$R$15^2)*(1-1.05*($R$17^1.26))))*'F(T,E)'!N67</f>
        <v>72.447455833956838</v>
      </c>
      <c r="N87" s="17">
        <f>1/$N$29-LN($N$29)+($S$16*EXP($S$16/($D$14*$S$15))/(($D$14*$S$15^2)*(1-1.05*($S$17^1.26))))*'F(T,E)'!O67</f>
        <v>-11.512905455746095</v>
      </c>
      <c r="O87" s="25"/>
      <c r="P87" s="20">
        <f t="shared" si="5"/>
        <v>245.20893027583793</v>
      </c>
      <c r="Q87" s="20">
        <f t="shared" si="6"/>
        <v>8.5354136577676584E-2</v>
      </c>
      <c r="R87" s="20">
        <f t="shared" si="7"/>
        <v>4.818658312727165E-2</v>
      </c>
      <c r="S87" s="20">
        <f t="shared" si="8"/>
        <v>1.0014225895363053E-5</v>
      </c>
      <c r="T87" s="20">
        <f t="shared" si="9"/>
        <v>1.8145309972337872E-2</v>
      </c>
      <c r="U87" s="20">
        <f t="shared" si="10"/>
        <v>0.16265960722043957</v>
      </c>
      <c r="V87" s="20">
        <f t="shared" si="11"/>
        <v>0.68328569242226223</v>
      </c>
      <c r="W87" s="20">
        <f t="shared" si="12"/>
        <v>0.24084091998875484</v>
      </c>
      <c r="X87" s="20">
        <f t="shared" si="13"/>
        <v>68.224649898941138</v>
      </c>
      <c r="Y87" s="20">
        <f t="shared" si="14"/>
        <v>1.0000100091741331E-5</v>
      </c>
      <c r="Z87" s="25"/>
      <c r="AA87" s="20">
        <f t="shared" si="16"/>
        <v>4.3359705606201118</v>
      </c>
      <c r="AB87" s="20">
        <f t="shared" si="17"/>
        <v>37203.86055174355</v>
      </c>
      <c r="AC87" s="20">
        <f t="shared" si="18"/>
        <v>11031.134368231631</v>
      </c>
      <c r="AD87" s="20">
        <f t="shared" si="19"/>
        <v>363.89137721028209</v>
      </c>
      <c r="AE87" s="20">
        <f t="shared" si="20"/>
        <v>5.985945546914774</v>
      </c>
      <c r="AF87" s="20">
        <f t="shared" si="21"/>
        <v>4.8403846317456173E-2</v>
      </c>
      <c r="AG87" s="20">
        <f t="shared" si="22"/>
        <v>2.0541715743087444E-4</v>
      </c>
      <c r="AH87" s="20">
        <f t="shared" si="23"/>
        <v>9.6163260910036923E-7</v>
      </c>
      <c r="AI87" s="20">
        <f t="shared" si="24"/>
        <v>0</v>
      </c>
      <c r="AJ87" s="20">
        <v>50</v>
      </c>
      <c r="AK87" s="25"/>
      <c r="AL87" s="20">
        <f t="shared" si="25"/>
        <v>48659.256823518102</v>
      </c>
      <c r="AM87" s="25"/>
      <c r="AN87" s="20">
        <f t="shared" si="26"/>
        <v>7221349.2355446024</v>
      </c>
      <c r="AO87" s="20">
        <f t="shared" si="27"/>
        <v>2687.2568235181025</v>
      </c>
      <c r="AQ87" s="20">
        <f t="shared" si="28"/>
        <v>3.5053778157662351E-4</v>
      </c>
      <c r="AR87" s="20">
        <v>401</v>
      </c>
      <c r="AS87" s="20">
        <f t="shared" si="29"/>
        <v>-0.58454207420127524</v>
      </c>
    </row>
    <row r="88" spans="2:45" x14ac:dyDescent="0.3">
      <c r="B88" s="32">
        <v>130</v>
      </c>
      <c r="C88" s="32">
        <v>40386</v>
      </c>
      <c r="D88" s="7">
        <f t="shared" si="15"/>
        <v>403</v>
      </c>
      <c r="E88" s="17">
        <f>1/$E$29-LN($E$29)+($J$16*EXP($J$16/($D$14*$J$15))/(($D$14*$J$15^2)*(1-1.05*($J$17^1.26))))*'F(T,E)'!F68</f>
        <v>291.60483820597909</v>
      </c>
      <c r="F88" s="17">
        <f>1/$F$29-LN($F$29)+($K$16*EXP($K$16/($D$14*$K$15))/(($D$14*$K$15^2)*(1-1.05*($K$17^1.26))))*'F(T,E)'!G68</f>
        <v>-1.8720322047356928</v>
      </c>
      <c r="G88" s="17">
        <f>1/$G$29-LN($G$29)+($L$16*EXP($L$16/($D$14*$L$15))/(($D$14*$L$15^2)*(1-1.05*($L$17^1.26))))*'F(T,E)'!H68</f>
        <v>-2.9711095929834377</v>
      </c>
      <c r="H88" s="17">
        <f>1/$H$29-LN($H$29)+($M$16*EXP($M$16/($D$14*$M$15))/(($D$14*$M$15^2)*(1-1.05*($M$17^1.26))))*'F(T,E)'!I68</f>
        <v>-11.511101491831289</v>
      </c>
      <c r="I88" s="17">
        <f>1/$I$29-LN($I$29)+($N$16*EXP($N$16/($D$14*$N$15))/(($D$14*$N$15^2)*(1-1.05*($N$17^1.26))))*'F(T,E)'!J68</f>
        <v>-3.9911948557129313</v>
      </c>
      <c r="J88" s="17">
        <f>1/$J$29-LN($J$29)+($O$16*EXP($O$16/($D$14*$O$15))/(($D$14*$O$15^2)*(1-1.05*($O$17^1.26))))*'F(T,E)'!K68</f>
        <v>-1.6534346683620407</v>
      </c>
      <c r="K88" s="17">
        <f>1/$K$29-LN($K$29)+($P$16*EXP($P$16/($D$14*$P$15))/(($D$14*$P$15^2)*(1-1.05*($P$17^1.26))))*'F(T,E)'!L68</f>
        <v>0.30244348047805814</v>
      </c>
      <c r="L88" s="17">
        <f>1/$L$29-LN($L$29)+($Q$16*EXP($Q$16/($D$14*$Q$15))/(($D$14*$Q$15^2)*(1-1.05*($Q$17^1.26))))*'F(T,E)'!M68</f>
        <v>-1.1827777264562482</v>
      </c>
      <c r="M88" s="17">
        <f>1/$M$29-LN($M$29)+($R$16*EXP($R$16/($D$14*$R$15))/(($D$14*$R$15^2)*(1-1.05*($R$17^1.26))))*'F(T,E)'!N68</f>
        <v>76.888518643307904</v>
      </c>
      <c r="N88" s="17">
        <f>1/$N$29-LN($N$29)+($S$16*EXP($S$16/($D$14*$S$15))/(($D$14*$S$15^2)*(1-1.05*($S$17^1.26))))*'F(T,E)'!O68</f>
        <v>-11.512905453201032</v>
      </c>
      <c r="O88" s="25"/>
      <c r="P88" s="20">
        <f t="shared" si="5"/>
        <v>285.94902464654666</v>
      </c>
      <c r="Q88" s="20">
        <f t="shared" si="6"/>
        <v>0.13445956350348823</v>
      </c>
      <c r="R88" s="20">
        <f t="shared" si="7"/>
        <v>4.880536852067887E-2</v>
      </c>
      <c r="S88" s="20">
        <f t="shared" si="8"/>
        <v>1.0018156011945021E-5</v>
      </c>
      <c r="T88" s="20">
        <f t="shared" si="9"/>
        <v>1.8145363254731647E-2</v>
      </c>
      <c r="U88" s="20">
        <f t="shared" si="10"/>
        <v>0.16265978705067591</v>
      </c>
      <c r="V88" s="20">
        <f t="shared" si="11"/>
        <v>0.68328569421257912</v>
      </c>
      <c r="W88" s="20">
        <f t="shared" si="12"/>
        <v>0.24084091999485197</v>
      </c>
      <c r="X88" s="20">
        <f t="shared" si="13"/>
        <v>72.603505438367762</v>
      </c>
      <c r="Y88" s="20">
        <f t="shared" si="14"/>
        <v>1.0000100117191959E-5</v>
      </c>
      <c r="Z88" s="25"/>
      <c r="AA88" s="20">
        <f t="shared" si="16"/>
        <v>3.6682753955062553</v>
      </c>
      <c r="AB88" s="20">
        <f t="shared" si="17"/>
        <v>27066.261872424981</v>
      </c>
      <c r="AC88" s="20">
        <f t="shared" si="18"/>
        <v>13236.176165408358</v>
      </c>
      <c r="AD88" s="20">
        <f t="shared" si="19"/>
        <v>460.35826083525296</v>
      </c>
      <c r="AE88" s="20">
        <f t="shared" si="20"/>
        <v>8.2102410234355094</v>
      </c>
      <c r="AF88" s="20">
        <f t="shared" si="21"/>
        <v>6.2099450174085191E-2</v>
      </c>
      <c r="AG88" s="20">
        <f t="shared" si="22"/>
        <v>2.8495768090693177E-4</v>
      </c>
      <c r="AH88" s="20">
        <f t="shared" si="23"/>
        <v>1.3532882488985573E-6</v>
      </c>
      <c r="AI88" s="20">
        <f t="shared" si="24"/>
        <v>0</v>
      </c>
      <c r="AJ88" s="20">
        <v>50</v>
      </c>
      <c r="AK88" s="25"/>
      <c r="AL88" s="20">
        <f t="shared" si="25"/>
        <v>40824.737200848678</v>
      </c>
      <c r="AM88" s="25"/>
      <c r="AN88" s="20">
        <f t="shared" si="26"/>
        <v>192490.33140853338</v>
      </c>
      <c r="AO88" s="20">
        <f t="shared" si="27"/>
        <v>438.73720084867819</v>
      </c>
      <c r="AQ88" s="20">
        <f t="shared" si="28"/>
        <v>5.723083991625675E-5</v>
      </c>
      <c r="AR88" s="20">
        <v>403</v>
      </c>
      <c r="AS88" s="20">
        <f t="shared" si="29"/>
        <v>-0.10863596316760218</v>
      </c>
    </row>
    <row r="89" spans="2:45" x14ac:dyDescent="0.3">
      <c r="B89" s="32">
        <v>132</v>
      </c>
      <c r="C89" s="32">
        <v>35320</v>
      </c>
      <c r="D89" s="7">
        <f t="shared" si="15"/>
        <v>405</v>
      </c>
      <c r="E89" s="17">
        <f>1/$E$29-LN($E$29)+($J$16*EXP($J$16/($D$14*$J$15))/(($D$14*$J$15^2)*(1-1.05*($J$17^1.26))))*'F(T,E)'!F69</f>
        <v>338.58840654135776</v>
      </c>
      <c r="F89" s="17">
        <f>1/$F$29-LN($F$29)+($K$16*EXP($K$16/($D$14*$K$15))/(($D$14*$K$15^2)*(1-1.05*($K$17^1.26))))*'F(T,E)'!G69</f>
        <v>-1.2693941668319106</v>
      </c>
      <c r="G89" s="17">
        <f>1/$G$29-LN($G$29)+($L$16*EXP($L$16/($D$14*$L$15))/(($D$14*$L$15^2)*(1-1.05*($L$17^1.26))))*'F(T,E)'!H69</f>
        <v>-2.9548580015667323</v>
      </c>
      <c r="H89" s="17">
        <f>1/$H$29-LN($H$29)+($M$16*EXP($M$16/($D$14*$M$15))/(($D$14*$M$15^2)*(1-1.05*($M$17^1.26))))*'F(T,E)'!I69</f>
        <v>-11.510605511987857</v>
      </c>
      <c r="I89" s="17">
        <f>1/$I$29-LN($I$29)+($N$16*EXP($N$16/($D$14*$N$15))/(($D$14*$N$15^2)*(1-1.05*($N$17^1.26))))*'F(T,E)'!J69</f>
        <v>-3.9911907618651874</v>
      </c>
      <c r="J89" s="17">
        <f>1/$J$29-LN($J$29)+($O$16*EXP($O$16/($D$14*$O$15))/(($D$14*$O$15^2)*(1-1.05*($O$17^1.26))))*'F(T,E)'!K69</f>
        <v>-1.6534330214300255</v>
      </c>
      <c r="K89" s="17">
        <f>1/$K$29-LN($K$29)+($P$16*EXP($P$16/($D$14*$P$15))/(($D$14*$P$15^2)*(1-1.05*($P$17^1.26))))*'F(T,E)'!L69</f>
        <v>0.30244348658580905</v>
      </c>
      <c r="L89" s="17">
        <f>1/$L$29-LN($L$29)+($Q$16*EXP($Q$16/($D$14*$Q$15))/(($D$14*$Q$15^2)*(1-1.05*($Q$17^1.26))))*'F(T,E)'!M69</f>
        <v>-1.1827777264121211</v>
      </c>
      <c r="M89" s="17">
        <f>1/$M$29-LN($M$29)+($R$16*EXP($R$16/($D$14*$R$15))/(($D$14*$R$15^2)*(1-1.05*($R$17^1.26))))*'F(T,E)'!N69</f>
        <v>81.52009893759417</v>
      </c>
      <c r="N89" s="17">
        <f>1/$N$29-LN($N$29)+($S$16*EXP($S$16/($D$14*$S$15))/(($D$14*$S$15^2)*(1-1.05*($S$17^1.26))))*'F(T,E)'!O69</f>
        <v>-11.512905449977735</v>
      </c>
      <c r="O89" s="25"/>
      <c r="P89" s="20">
        <f t="shared" si="5"/>
        <v>332.78092215929638</v>
      </c>
      <c r="Q89" s="20">
        <f t="shared" si="6"/>
        <v>0.22449732415781495</v>
      </c>
      <c r="R89" s="20">
        <f t="shared" si="7"/>
        <v>4.9567235549910056E-2</v>
      </c>
      <c r="S89" s="20">
        <f t="shared" si="8"/>
        <v>1.0023125997997428E-5</v>
      </c>
      <c r="T89" s="20">
        <f t="shared" si="9"/>
        <v>1.8145436215336083E-2</v>
      </c>
      <c r="U89" s="20">
        <f t="shared" si="10"/>
        <v>0.16266001746182204</v>
      </c>
      <c r="V89" s="20">
        <f t="shared" si="11"/>
        <v>0.68328569669186034</v>
      </c>
      <c r="W89" s="20">
        <f t="shared" si="12"/>
        <v>0.24084092000341678</v>
      </c>
      <c r="X89" s="20">
        <f t="shared" si="13"/>
        <v>77.174035860187288</v>
      </c>
      <c r="Y89" s="20">
        <f t="shared" si="14"/>
        <v>1.0000100149424932E-5</v>
      </c>
      <c r="Z89" s="25"/>
      <c r="AA89" s="20">
        <f t="shared" si="16"/>
        <v>3.1114689166514409</v>
      </c>
      <c r="AB89" s="20">
        <f t="shared" si="17"/>
        <v>17959.339907634869</v>
      </c>
      <c r="AC89" s="20">
        <f t="shared" si="18"/>
        <v>15805.975073733216</v>
      </c>
      <c r="AD89" s="20">
        <f t="shared" si="19"/>
        <v>580.98484927018785</v>
      </c>
      <c r="AE89" s="20">
        <f t="shared" si="20"/>
        <v>11.225954275503947</v>
      </c>
      <c r="AF89" s="20">
        <f t="shared" si="21"/>
        <v>7.9474308417749828E-2</v>
      </c>
      <c r="AG89" s="20">
        <f t="shared" si="22"/>
        <v>3.9402169204242628E-4</v>
      </c>
      <c r="AH89" s="20">
        <f t="shared" si="23"/>
        <v>1.8980425618661966E-6</v>
      </c>
      <c r="AI89" s="20">
        <f t="shared" si="24"/>
        <v>0</v>
      </c>
      <c r="AJ89" s="20">
        <v>50</v>
      </c>
      <c r="AK89" s="25"/>
      <c r="AL89" s="20">
        <f t="shared" si="25"/>
        <v>34410.717124058581</v>
      </c>
      <c r="AM89" s="25"/>
      <c r="AN89" s="20">
        <f t="shared" si="26"/>
        <v>826795.34848029749</v>
      </c>
      <c r="AO89" s="20">
        <f t="shared" si="27"/>
        <v>909.28287594141875</v>
      </c>
      <c r="AQ89" s="20">
        <f t="shared" si="28"/>
        <v>1.1861091927225315E-4</v>
      </c>
      <c r="AR89" s="20">
        <v>405</v>
      </c>
      <c r="AS89" s="20">
        <f t="shared" si="29"/>
        <v>0.25744135785430883</v>
      </c>
    </row>
    <row r="90" spans="2:45" x14ac:dyDescent="0.3">
      <c r="B90" s="32">
        <v>133</v>
      </c>
      <c r="C90" s="32">
        <v>31830</v>
      </c>
      <c r="D90" s="7">
        <f t="shared" si="15"/>
        <v>406</v>
      </c>
      <c r="E90" s="17">
        <f>1/$E$29-LN($E$29)+($J$16*EXP($J$16/($D$14*$J$15))/(($D$14*$J$15^2)*(1-1.05*($J$17^1.26))))*'F(T,E)'!F70</f>
        <v>364.62026185363732</v>
      </c>
      <c r="F90" s="17">
        <f>1/$F$29-LN($F$29)+($K$16*EXP($K$16/($D$14*$K$15))/(($D$14*$K$15^2)*(1-1.05*($K$17^1.26))))*'F(T,E)'!G70</f>
        <v>-0.92534370818372924</v>
      </c>
      <c r="G90" s="17">
        <f>1/$G$29-LN($G$29)+($L$16*EXP($L$16/($D$14*$L$15))/(($D$14*$L$15^2)*(1-1.05*($L$17^1.26))))*'F(T,E)'!H70</f>
        <v>-2.9454778359258649</v>
      </c>
      <c r="H90" s="17">
        <f>1/$H$29-LN($H$29)+($M$16*EXP($M$16/($D$14*$M$15))/(($D$14*$M$15^2)*(1-1.05*($M$17^1.26))))*'F(T,E)'!I70</f>
        <v>-11.510310800308037</v>
      </c>
      <c r="I90" s="17">
        <f>1/$I$29-LN($I$29)+($N$16*EXP($N$16/($D$14*$N$15))/(($D$14*$N$15^2)*(1-1.05*($N$17^1.26))))*'F(T,E)'!J70</f>
        <v>-3.9911881835849954</v>
      </c>
      <c r="J90" s="17">
        <f>1/$J$29-LN($J$29)+($O$16*EXP($O$16/($D$14*$O$15))/(($D$14*$O$15^2)*(1-1.05*($O$17^1.26))))*'F(T,E)'!K70</f>
        <v>-1.6534320331070029</v>
      </c>
      <c r="K90" s="17">
        <f>1/$K$29-LN($K$29)+($P$16*EXP($P$16/($D$14*$P$15))/(($D$14*$P$15^2)*(1-1.05*($P$17^1.26))))*'F(T,E)'!L70</f>
        <v>0.30244349046395208</v>
      </c>
      <c r="L90" s="17">
        <f>1/$L$29-LN($L$29)+($Q$16*EXP($Q$16/($D$14*$Q$15))/(($D$14*$Q$15^2)*(1-1.05*($Q$17^1.26))))*'F(T,E)'!M70</f>
        <v>-1.1827777263838113</v>
      </c>
      <c r="M90" s="17">
        <f>1/$M$29-LN($M$29)+($R$16*EXP($R$16/($D$14*$R$15))/(($D$14*$R$15^2)*(1-1.05*($R$17^1.26))))*'F(T,E)'!N70</f>
        <v>83.909237515860767</v>
      </c>
      <c r="N90" s="17">
        <f>1/$N$29-LN($N$29)+($S$16*EXP($S$16/($D$14*$S$15))/(($D$14*$S$15^2)*(1-1.05*($S$17^1.26))))*'F(T,E)'!O70</f>
        <v>-11.512905448059728</v>
      </c>
      <c r="O90" s="25"/>
      <c r="P90" s="20">
        <f t="shared" si="5"/>
        <v>358.73767045522317</v>
      </c>
      <c r="Q90" s="20">
        <f t="shared" si="6"/>
        <v>0.2950993822408603</v>
      </c>
      <c r="R90" s="20">
        <f t="shared" si="7"/>
        <v>5.0012117475715517E-2</v>
      </c>
      <c r="S90" s="20">
        <f t="shared" si="8"/>
        <v>1.0026080335998847E-5</v>
      </c>
      <c r="T90" s="20">
        <f t="shared" si="9"/>
        <v>1.8145482165624997E-2</v>
      </c>
      <c r="U90" s="20">
        <f t="shared" si="10"/>
        <v>0.16266015573156248</v>
      </c>
      <c r="V90" s="20">
        <f t="shared" si="11"/>
        <v>0.68328569826609087</v>
      </c>
      <c r="W90" s="20">
        <f t="shared" si="12"/>
        <v>0.24084092000891161</v>
      </c>
      <c r="X90" s="20">
        <f t="shared" si="13"/>
        <v>79.533064672831813</v>
      </c>
      <c r="Y90" s="20">
        <f t="shared" si="14"/>
        <v>1.0000100168605004E-5</v>
      </c>
      <c r="Z90" s="25"/>
      <c r="AA90" s="20">
        <f t="shared" si="16"/>
        <v>2.8682417721012059</v>
      </c>
      <c r="AB90" s="20">
        <f t="shared" si="17"/>
        <v>14116.475819056566</v>
      </c>
      <c r="AC90" s="20">
        <f t="shared" si="18"/>
        <v>17238.385668801031</v>
      </c>
      <c r="AD90" s="20">
        <f t="shared" si="19"/>
        <v>652.08580513993411</v>
      </c>
      <c r="AE90" s="20">
        <f t="shared" si="20"/>
        <v>13.111571266114632</v>
      </c>
      <c r="AF90" s="20">
        <f t="shared" si="21"/>
        <v>8.982564659032774E-2</v>
      </c>
      <c r="AG90" s="20">
        <f t="shared" si="22"/>
        <v>4.6277515915444512E-4</v>
      </c>
      <c r="AH90" s="20">
        <f t="shared" si="23"/>
        <v>2.2450239228178792E-6</v>
      </c>
      <c r="AI90" s="20">
        <f t="shared" si="24"/>
        <v>0</v>
      </c>
      <c r="AJ90" s="20">
        <v>50</v>
      </c>
      <c r="AK90" s="25"/>
      <c r="AL90" s="20">
        <f t="shared" si="25"/>
        <v>32073.017396702518</v>
      </c>
      <c r="AM90" s="25"/>
      <c r="AN90" s="20">
        <f t="shared" si="26"/>
        <v>59057.45510006923</v>
      </c>
      <c r="AO90" s="20">
        <f t="shared" si="27"/>
        <v>243.01739670251845</v>
      </c>
      <c r="AQ90" s="20">
        <f t="shared" si="28"/>
        <v>3.1700274562184293E-5</v>
      </c>
      <c r="AR90" s="20">
        <v>406</v>
      </c>
      <c r="AS90" s="20">
        <f t="shared" si="29"/>
        <v>-7.6348538078076802E-2</v>
      </c>
    </row>
    <row r="91" spans="2:45" x14ac:dyDescent="0.3">
      <c r="B91" s="32">
        <v>135</v>
      </c>
      <c r="C91" s="32">
        <v>29832</v>
      </c>
      <c r="D91" s="7">
        <f t="shared" si="15"/>
        <v>408</v>
      </c>
      <c r="E91" s="17">
        <f>1/$E$29-LN($E$29)+($J$16*EXP($J$16/($D$14*$J$15))/(($D$14*$J$15^2)*(1-1.05*($J$17^1.26))))*'F(T,E)'!F71</f>
        <v>422.3323940723314</v>
      </c>
      <c r="F91" s="17">
        <f>1/$F$29-LN($F$29)+($K$16*EXP($K$16/($D$14*$K$15))/(($D$14*$K$15^2)*(1-1.05*($K$17^1.26))))*'F(T,E)'!G71</f>
        <v>-0.13897396664672446</v>
      </c>
      <c r="G91" s="17">
        <f>1/$G$29-LN($G$29)+($L$16*EXP($L$16/($D$14*$L$15))/(($D$14*$L$15^2)*(1-1.05*($L$17^1.26))))*'F(T,E)'!H71</f>
        <v>-2.9237971711371773</v>
      </c>
      <c r="H91" s="17">
        <f>1/$H$29-LN($H$29)+($M$16*EXP($M$16/($D$14*$M$15))/(($D$14*$M$15^2)*(1-1.05*($M$17^1.26))))*'F(T,E)'!I71</f>
        <v>-11.509608982550226</v>
      </c>
      <c r="I91" s="17">
        <f>1/$I$29-LN($I$29)+($N$16*EXP($N$16/($D$14*$N$15))/(($D$14*$N$15^2)*(1-1.05*($N$17^1.26))))*'F(T,E)'!J71</f>
        <v>-3.9911816617192333</v>
      </c>
      <c r="J91" s="17">
        <f>1/$J$29-LN($J$29)+($O$16*EXP($O$16/($D$14*$O$15))/(($D$14*$O$15^2)*(1-1.05*($O$17^1.26))))*'F(T,E)'!K71</f>
        <v>-1.6534296554299102</v>
      </c>
      <c r="K91" s="17">
        <f>1/$K$29-LN($K$29)+($P$16*EXP($P$16/($D$14*$P$15))/(($D$14*$P$15^2)*(1-1.05*($P$17^1.26))))*'F(T,E)'!L71</f>
        <v>0.30244350035791967</v>
      </c>
      <c r="L91" s="17">
        <f>1/$L$29-LN($L$29)+($Q$16*EXP($Q$16/($D$14*$Q$15))/(($D$14*$Q$15^2)*(1-1.05*($Q$17^1.26))))*'F(T,E)'!M71</f>
        <v>-1.1827777263108006</v>
      </c>
      <c r="M91" s="17">
        <f>1/$M$29-LN($M$29)+($R$16*EXP($R$16/($D$14*$R$15))/(($D$14*$R$15^2)*(1-1.05*($R$17^1.26))))*'F(T,E)'!N71</f>
        <v>88.838085291680017</v>
      </c>
      <c r="N91" s="17">
        <f>1/$N$29-LN($N$29)+($S$16*EXP($S$16/($D$14*$S$15))/(($D$14*$S$15^2)*(1-1.05*($S$17^1.26))))*'F(T,E)'!O71</f>
        <v>-11.512905443485554</v>
      </c>
      <c r="O91" s="25"/>
      <c r="P91" s="20">
        <f t="shared" si="5"/>
        <v>416.30098555072823</v>
      </c>
      <c r="Q91" s="20">
        <f t="shared" si="6"/>
        <v>0.51827511022998085</v>
      </c>
      <c r="R91" s="20">
        <f t="shared" si="7"/>
        <v>5.1054981776481427E-2</v>
      </c>
      <c r="S91" s="20">
        <f t="shared" si="8"/>
        <v>1.0033119216339437E-5</v>
      </c>
      <c r="T91" s="20">
        <f t="shared" si="9"/>
        <v>1.8145598399280424E-2</v>
      </c>
      <c r="U91" s="20">
        <f t="shared" si="10"/>
        <v>0.16266048837706032</v>
      </c>
      <c r="V91" s="20">
        <f t="shared" si="11"/>
        <v>0.68328570228228769</v>
      </c>
      <c r="W91" s="20">
        <f t="shared" si="12"/>
        <v>0.24084092002308258</v>
      </c>
      <c r="X91" s="20">
        <f t="shared" si="13"/>
        <v>84.402488407017273</v>
      </c>
      <c r="Y91" s="20">
        <f t="shared" si="14"/>
        <v>1.0000100214346745E-5</v>
      </c>
      <c r="Z91" s="25"/>
      <c r="AA91" s="20">
        <f t="shared" si="16"/>
        <v>2.4415756938602904</v>
      </c>
      <c r="AB91" s="20">
        <f t="shared" si="17"/>
        <v>8177.0514686254937</v>
      </c>
      <c r="AC91" s="20">
        <f t="shared" si="18"/>
        <v>20415.900730990372</v>
      </c>
      <c r="AD91" s="20">
        <f t="shared" si="19"/>
        <v>819.9673853084463</v>
      </c>
      <c r="AE91" s="20">
        <f t="shared" si="20"/>
        <v>17.845364913693544</v>
      </c>
      <c r="AF91" s="20">
        <f t="shared" si="21"/>
        <v>0.11454216822620016</v>
      </c>
      <c r="AG91" s="20">
        <f t="shared" si="22"/>
        <v>6.3685805756843919E-4</v>
      </c>
      <c r="AH91" s="20">
        <f t="shared" si="23"/>
        <v>3.133132387805807E-6</v>
      </c>
      <c r="AI91" s="20">
        <f t="shared" si="24"/>
        <v>0</v>
      </c>
      <c r="AJ91" s="20">
        <v>50</v>
      </c>
      <c r="AK91" s="25"/>
      <c r="AL91" s="20">
        <f t="shared" si="25"/>
        <v>29483.321707691284</v>
      </c>
      <c r="AM91" s="25"/>
      <c r="AN91" s="20">
        <f t="shared" si="26"/>
        <v>121576.55152732223</v>
      </c>
      <c r="AO91" s="20">
        <f t="shared" si="27"/>
        <v>348.67829230871575</v>
      </c>
      <c r="AQ91" s="20">
        <f t="shared" si="28"/>
        <v>4.5483153675579204E-5</v>
      </c>
      <c r="AR91" s="20">
        <v>408</v>
      </c>
      <c r="AS91" s="20">
        <f t="shared" si="29"/>
        <v>0.11688062895840566</v>
      </c>
    </row>
    <row r="92" spans="2:45" x14ac:dyDescent="0.3">
      <c r="B92" s="32">
        <v>136</v>
      </c>
      <c r="C92" s="32">
        <v>29610</v>
      </c>
      <c r="D92" s="7">
        <f t="shared" si="15"/>
        <v>409</v>
      </c>
      <c r="E92" s="17">
        <f>1/$E$29-LN($E$29)+($J$16*EXP($J$16/($D$14*$J$15))/(($D$14*$J$15^2)*(1-1.05*($J$17^1.26))))*'F(T,E)'!F72</f>
        <v>454.26068154990202</v>
      </c>
      <c r="F92" s="17">
        <f>1/$F$29-LN($F$29)+($K$16*EXP($K$16/($D$14*$K$15))/(($D$14*$K$15^2)*(1-1.05*($K$17^1.26))))*'F(T,E)'!G72</f>
        <v>0.30910423863296987</v>
      </c>
      <c r="G92" s="17">
        <f>1/$G$29-LN($G$29)+($L$16*EXP($L$16/($D$14*$L$15))/(($D$14*$L$15^2)*(1-1.05*($L$17^1.26))))*'F(T,E)'!H72</f>
        <v>-2.9113095378622589</v>
      </c>
      <c r="H92" s="17">
        <f>1/$H$29-LN($H$29)+($M$16*EXP($M$16/($D$14*$M$15))/(($D$14*$M$15^2)*(1-1.05*($M$17^1.26))))*'F(T,E)'!I72</f>
        <v>-11.509193005866971</v>
      </c>
      <c r="I92" s="17">
        <f>1/$I$29-LN($I$29)+($N$16*EXP($N$16/($D$14*$N$15))/(($D$14*$N$15^2)*(1-1.05*($N$17^1.26))))*'F(T,E)'!J72</f>
        <v>-3.991177567983804</v>
      </c>
      <c r="J92" s="17">
        <f>1/$J$29-LN($J$29)+($O$16*EXP($O$16/($D$14*$O$15))/(($D$14*$O$15^2)*(1-1.05*($O$17^1.26))))*'F(T,E)'!K72</f>
        <v>-1.6534282323613649</v>
      </c>
      <c r="K92" s="17">
        <f>1/$K$29-LN($K$29)+($P$16*EXP($P$16/($D$14*$P$15))/(($D$14*$P$15^2)*(1-1.05*($P$17^1.26))))*'F(T,E)'!L72</f>
        <v>0.30244350661846148</v>
      </c>
      <c r="L92" s="17">
        <f>1/$L$29-LN($L$29)+($Q$16*EXP($Q$16/($D$14*$Q$15))/(($D$14*$Q$15^2)*(1-1.05*($Q$17^1.26))))*'F(T,E)'!M72</f>
        <v>-1.182777726264129</v>
      </c>
      <c r="M92" s="17">
        <f>1/$M$29-LN($M$29)+($R$16*EXP($R$16/($D$14*$R$15))/(($D$14*$R$15^2)*(1-1.05*($R$17^1.26))))*'F(T,E)'!N72</f>
        <v>91.379366304609732</v>
      </c>
      <c r="N92" s="17">
        <f>1/$N$29-LN($N$29)+($S$16*EXP($S$16/($D$14*$S$15))/(($D$14*$S$15^2)*(1-1.05*($S$17^1.26))))*'F(T,E)'!O72</f>
        <v>-11.512905440770583</v>
      </c>
      <c r="O92" s="25"/>
      <c r="P92" s="20">
        <f t="shared" si="5"/>
        <v>448.15554118759269</v>
      </c>
      <c r="Q92" s="20">
        <f t="shared" si="6"/>
        <v>0.68599263137816202</v>
      </c>
      <c r="R92" s="20">
        <f t="shared" si="7"/>
        <v>5.1665008422975812E-2</v>
      </c>
      <c r="S92" s="20">
        <f t="shared" si="8"/>
        <v>1.0037293586263179E-5</v>
      </c>
      <c r="T92" s="20">
        <f t="shared" si="9"/>
        <v>1.8145671358811795E-2</v>
      </c>
      <c r="U92" s="20">
        <f t="shared" si="10"/>
        <v>0.16266068746970064</v>
      </c>
      <c r="V92" s="20">
        <f t="shared" si="11"/>
        <v>0.68328570482359041</v>
      </c>
      <c r="W92" s="20">
        <f t="shared" si="12"/>
        <v>0.24084092003214128</v>
      </c>
      <c r="X92" s="20">
        <f t="shared" si="13"/>
        <v>86.914442094040425</v>
      </c>
      <c r="Y92" s="20">
        <f t="shared" si="14"/>
        <v>1.0000100241496457E-5</v>
      </c>
      <c r="Z92" s="25"/>
      <c r="AA92" s="20">
        <f t="shared" si="16"/>
        <v>2.2545443157408238</v>
      </c>
      <c r="AB92" s="20">
        <f t="shared" si="17"/>
        <v>6071.6505869416414</v>
      </c>
      <c r="AC92" s="20">
        <f t="shared" si="18"/>
        <v>22165.995851491167</v>
      </c>
      <c r="AD92" s="20">
        <f t="shared" si="19"/>
        <v>918.646095511098</v>
      </c>
      <c r="AE92" s="20">
        <f t="shared" si="20"/>
        <v>20.79550347810045</v>
      </c>
      <c r="AF92" s="20">
        <f t="shared" si="21"/>
        <v>0.12922920195923357</v>
      </c>
      <c r="AG92" s="20">
        <f t="shared" si="22"/>
        <v>7.4622599319036675E-4</v>
      </c>
      <c r="AH92" s="20">
        <f t="shared" si="23"/>
        <v>3.6968066431953897E-6</v>
      </c>
      <c r="AI92" s="20">
        <f t="shared" si="24"/>
        <v>0</v>
      </c>
      <c r="AJ92" s="20">
        <v>50</v>
      </c>
      <c r="AK92" s="25"/>
      <c r="AL92" s="20">
        <f t="shared" si="25"/>
        <v>29229.472560862509</v>
      </c>
      <c r="AM92" s="25"/>
      <c r="AN92" s="20">
        <f t="shared" si="26"/>
        <v>144801.13193653728</v>
      </c>
      <c r="AO92" s="20">
        <f t="shared" si="27"/>
        <v>380.52743913749146</v>
      </c>
      <c r="AQ92" s="20">
        <f t="shared" si="28"/>
        <v>4.963769862891607E-5</v>
      </c>
      <c r="AR92" s="20">
        <v>409</v>
      </c>
      <c r="AS92" s="20">
        <f t="shared" si="29"/>
        <v>0.12851315067122304</v>
      </c>
    </row>
    <row r="93" spans="2:45" x14ac:dyDescent="0.3">
      <c r="B93" s="32">
        <v>138</v>
      </c>
      <c r="C93" s="32">
        <v>30356</v>
      </c>
      <c r="D93" s="7">
        <f t="shared" si="15"/>
        <v>411</v>
      </c>
      <c r="E93" s="17">
        <f>1/$E$29-LN($E$29)+($J$16*EXP($J$16/($D$14*$J$15))/(($D$14*$J$15^2)*(1-1.05*($J$17^1.26))))*'F(T,E)'!F73</f>
        <v>524.93802231238851</v>
      </c>
      <c r="F93" s="17">
        <f>1/$F$29-LN($F$29)+($K$16*EXP($K$16/($D$14*$K$15))/(($D$14*$K$15^2)*(1-1.05*($K$17^1.26))))*'F(T,E)'!G73</f>
        <v>1.3312326668046115</v>
      </c>
      <c r="G93" s="17">
        <f>1/$G$29-LN($G$29)+($L$16*EXP($L$16/($D$14*$L$15))/(($D$14*$L$15^2)*(1-1.05*($L$17^1.26))))*'F(T,E)'!H73</f>
        <v>-2.8825078929408181</v>
      </c>
      <c r="H93" s="17">
        <f>1/$H$29-LN($H$29)+($M$16*EXP($M$16/($D$14*$M$15))/(($D$14*$M$15^2)*(1-1.05*($M$17^1.26))))*'F(T,E)'!I73</f>
        <v>-11.508204956495529</v>
      </c>
      <c r="I93" s="17">
        <f>1/$I$29-LN($I$29)+($N$16*EXP($N$16/($D$14*$N$15))/(($D$14*$N$15^2)*(1-1.05*($N$17^1.26))))*'F(T,E)'!J73</f>
        <v>-3.9911672486113337</v>
      </c>
      <c r="J93" s="17">
        <f>1/$J$29-LN($J$29)+($O$16*EXP($O$16/($D$14*$O$15))/(($D$14*$O$15^2)*(1-1.05*($O$17^1.26))))*'F(T,E)'!K73</f>
        <v>-1.6534248181013425</v>
      </c>
      <c r="K93" s="17">
        <f>1/$K$29-LN($K$29)+($P$16*EXP($P$16/($D$14*$P$15))/(($D$14*$P$15^2)*(1-1.05*($P$17^1.26))))*'F(T,E)'!L73</f>
        <v>0.30244352253303192</v>
      </c>
      <c r="L93" s="17">
        <f>1/$L$29-LN($L$29)+($Q$16*EXP($Q$16/($D$14*$Q$15))/(($D$14*$Q$15^2)*(1-1.05*($Q$17^1.26))))*'F(T,E)'!M73</f>
        <v>-1.1827777261442154</v>
      </c>
      <c r="M93" s="17">
        <f>1/$M$29-LN($M$29)+($R$16*EXP($R$16/($D$14*$R$15))/(($D$14*$R$15^2)*(1-1.05*($R$17^1.26))))*'F(T,E)'!N73</f>
        <v>96.61962794528938</v>
      </c>
      <c r="N93" s="17">
        <f>1/$N$29-LN($N$29)+($S$16*EXP($S$16/($D$14*$S$15))/(($D$14*$S$15^2)*(1-1.05*($S$17^1.26))))*'F(T,E)'!O73</f>
        <v>-11.51290543431254</v>
      </c>
      <c r="O93" s="25"/>
      <c r="P93" s="20">
        <f t="shared" si="5"/>
        <v>518.68672222952819</v>
      </c>
      <c r="Q93" s="20">
        <f t="shared" si="6"/>
        <v>1.1722811312956187</v>
      </c>
      <c r="R93" s="20">
        <f t="shared" si="7"/>
        <v>5.3098510426098422E-2</v>
      </c>
      <c r="S93" s="20">
        <f t="shared" si="8"/>
        <v>1.0047215729217746E-5</v>
      </c>
      <c r="T93" s="20">
        <f t="shared" si="9"/>
        <v>1.8145855274413241E-2</v>
      </c>
      <c r="U93" s="20">
        <f t="shared" si="10"/>
        <v>0.16266116513837028</v>
      </c>
      <c r="V93" s="20">
        <f t="shared" si="11"/>
        <v>0.6832857112836932</v>
      </c>
      <c r="W93" s="20">
        <f t="shared" si="12"/>
        <v>0.24084092005541591</v>
      </c>
      <c r="X93" s="20">
        <f t="shared" si="13"/>
        <v>92.0967878790849</v>
      </c>
      <c r="Y93" s="20">
        <f t="shared" si="14"/>
        <v>1.000010030607689E-5</v>
      </c>
      <c r="Z93" s="25"/>
      <c r="AA93" s="20">
        <f t="shared" si="16"/>
        <v>1.9254113028162734</v>
      </c>
      <c r="AB93" s="20">
        <f t="shared" si="17"/>
        <v>3280.4120113932672</v>
      </c>
      <c r="AC93" s="20">
        <f t="shared" si="18"/>
        <v>25993.667303960581</v>
      </c>
      <c r="AD93" s="20">
        <f t="shared" si="19"/>
        <v>1150.9611185088809</v>
      </c>
      <c r="AE93" s="20">
        <f t="shared" si="20"/>
        <v>28.176465604551424</v>
      </c>
      <c r="AF93" s="20">
        <f t="shared" si="21"/>
        <v>0.16420487344628476</v>
      </c>
      <c r="AG93" s="20">
        <f t="shared" si="22"/>
        <v>1.0221650718374579E-3</v>
      </c>
      <c r="AH93" s="20">
        <f t="shared" si="23"/>
        <v>5.1342125036198232E-6</v>
      </c>
      <c r="AI93" s="20">
        <f t="shared" si="24"/>
        <v>0</v>
      </c>
      <c r="AJ93" s="20">
        <v>50</v>
      </c>
      <c r="AK93" s="25"/>
      <c r="AL93" s="20">
        <f t="shared" si="25"/>
        <v>30505.307542942828</v>
      </c>
      <c r="AM93" s="25"/>
      <c r="AN93" s="20">
        <f t="shared" si="26"/>
        <v>22292.742379624473</v>
      </c>
      <c r="AO93" s="20">
        <f t="shared" si="27"/>
        <v>149.30754294282815</v>
      </c>
      <c r="AQ93" s="20">
        <f t="shared" si="28"/>
        <v>1.9476342721614398E-5</v>
      </c>
      <c r="AR93" s="20">
        <v>411</v>
      </c>
      <c r="AS93" s="20">
        <f t="shared" si="29"/>
        <v>-4.9185512894593539E-2</v>
      </c>
    </row>
    <row r="94" spans="2:45" x14ac:dyDescent="0.3">
      <c r="B94" s="32">
        <v>139</v>
      </c>
      <c r="C94" s="32">
        <v>31860</v>
      </c>
      <c r="D94" s="7">
        <f t="shared" si="15"/>
        <v>412</v>
      </c>
      <c r="E94" s="17">
        <f>1/$E$29-LN($E$29)+($J$16*EXP($J$16/($D$14*$J$15))/(($D$14*$J$15^2)*(1-1.05*($J$17^1.26))))*'F(T,E)'!F74</f>
        <v>563.98183137695742</v>
      </c>
      <c r="F94" s="17">
        <f>1/$F$29-LN($F$29)+($K$16*EXP($K$16/($D$14*$K$15))/(($D$14*$K$15^2)*(1-1.05*($K$17^1.26))))*'F(T,E)'!G74</f>
        <v>1.9125483560613405</v>
      </c>
      <c r="G94" s="17">
        <f>1/$G$29-LN($G$29)+($L$16*EXP($L$16/($D$14*$L$15))/(($D$14*$L$15^2)*(1-1.05*($L$17^1.26))))*'F(T,E)'!H74</f>
        <v>-2.8659525815936115</v>
      </c>
      <c r="H94" s="17">
        <f>1/$H$29-LN($H$29)+($M$16*EXP($M$16/($D$14*$M$15))/(($D$14*$M$15^2)*(1-1.05*($M$17^1.26))))*'F(T,E)'!I74</f>
        <v>-11.507620761199496</v>
      </c>
      <c r="I94" s="17">
        <f>1/$I$29-LN($I$29)+($N$16*EXP($N$16/($D$14*$N$15))/(($D$14*$N$15^2)*(1-1.05*($N$17^1.26))))*'F(T,E)'!J74</f>
        <v>-3.9911607923394721</v>
      </c>
      <c r="J94" s="17">
        <f>1/$J$29-LN($J$29)+($O$16*EXP($O$16/($D$14*$O$15))/(($D$14*$O$15^2)*(1-1.05*($O$17^1.26))))*'F(T,E)'!K74</f>
        <v>-1.6534227799144099</v>
      </c>
      <c r="K94" s="17">
        <f>1/$K$29-LN($K$29)+($P$16*EXP($P$16/($D$14*$P$15))/(($D$14*$P$15^2)*(1-1.05*($P$17^1.26))))*'F(T,E)'!L74</f>
        <v>0.30244353256918954</v>
      </c>
      <c r="L94" s="17">
        <f>1/$L$29-LN($L$29)+($Q$16*EXP($Q$16/($D$14*$Q$15))/(($D$14*$Q$15^2)*(1-1.05*($Q$17^1.26))))*'F(T,E)'!M74</f>
        <v>-1.1827777260678314</v>
      </c>
      <c r="M94" s="17">
        <f>1/$M$29-LN($M$29)+($R$16*EXP($R$16/($D$14*$R$15))/(($D$14*$R$15^2)*(1-1.05*($R$17^1.26))))*'F(T,E)'!N74</f>
        <v>99.320225060521707</v>
      </c>
      <c r="N94" s="17">
        <f>1/$N$29-LN($N$29)+($S$16*EXP($S$16/($D$14*$S$15))/(($D$14*$S$15^2)*(1-1.05*($S$17^1.26))))*'F(T,E)'!O74</f>
        <v>-11.51290543048888</v>
      </c>
      <c r="O94" s="25"/>
      <c r="P94" s="20">
        <f t="shared" si="5"/>
        <v>557.6580853526483</v>
      </c>
      <c r="Q94" s="20">
        <f t="shared" si="6"/>
        <v>1.5042523552282625</v>
      </c>
      <c r="R94" s="20">
        <f t="shared" si="7"/>
        <v>5.3939507639923862E-2</v>
      </c>
      <c r="S94" s="20">
        <f t="shared" si="8"/>
        <v>1.0053086921173005E-5</v>
      </c>
      <c r="T94" s="20">
        <f t="shared" si="9"/>
        <v>1.8145970341364639E-2</v>
      </c>
      <c r="U94" s="20">
        <f t="shared" si="10"/>
        <v>0.16266145028947113</v>
      </c>
      <c r="V94" s="20">
        <f t="shared" si="11"/>
        <v>0.68328571535760829</v>
      </c>
      <c r="W94" s="20">
        <f t="shared" si="12"/>
        <v>0.24084092007024169</v>
      </c>
      <c r="X94" s="20">
        <f t="shared" si="13"/>
        <v>94.768784977868137</v>
      </c>
      <c r="Y94" s="20">
        <f t="shared" si="14"/>
        <v>1.0000100344313485E-5</v>
      </c>
      <c r="Z94" s="25"/>
      <c r="AA94" s="20">
        <f t="shared" si="16"/>
        <v>1.7806843851549217</v>
      </c>
      <c r="AB94" s="20">
        <f t="shared" si="17"/>
        <v>2417.1303160724351</v>
      </c>
      <c r="AC94" s="20">
        <f t="shared" si="18"/>
        <v>28069.054941465594</v>
      </c>
      <c r="AD94" s="20">
        <f t="shared" si="19"/>
        <v>1287.1218476151105</v>
      </c>
      <c r="AE94" s="20">
        <f t="shared" si="20"/>
        <v>32.761531330515389</v>
      </c>
      <c r="AF94" s="20">
        <f t="shared" si="21"/>
        <v>0.18493531569698157</v>
      </c>
      <c r="AG94" s="20">
        <f t="shared" si="22"/>
        <v>1.1949475781186688E-3</v>
      </c>
      <c r="AH94" s="20">
        <f t="shared" si="23"/>
        <v>6.0433541568339181E-6</v>
      </c>
      <c r="AI94" s="20">
        <f t="shared" si="24"/>
        <v>0</v>
      </c>
      <c r="AJ94" s="20">
        <v>50</v>
      </c>
      <c r="AK94" s="25"/>
      <c r="AL94" s="20">
        <f t="shared" si="25"/>
        <v>31858.03545717544</v>
      </c>
      <c r="AM94" s="25"/>
      <c r="AN94" s="20">
        <f t="shared" si="26"/>
        <v>3.8594285095315182</v>
      </c>
      <c r="AO94" s="20">
        <f t="shared" si="27"/>
        <v>1.9645428245603398</v>
      </c>
      <c r="AQ94" s="20">
        <f t="shared" si="28"/>
        <v>2.5626373985054888E-7</v>
      </c>
      <c r="AR94" s="20">
        <v>412</v>
      </c>
      <c r="AS94" s="20">
        <f t="shared" si="29"/>
        <v>6.1661733350920904E-4</v>
      </c>
    </row>
    <row r="95" spans="2:45" x14ac:dyDescent="0.3">
      <c r="B95" s="32">
        <v>141</v>
      </c>
      <c r="C95" s="32">
        <v>34722</v>
      </c>
      <c r="D95" s="7">
        <f t="shared" si="15"/>
        <v>414</v>
      </c>
      <c r="E95" s="17">
        <f>1/$E$29-LN($E$29)+($J$16*EXP($J$16/($D$14*$J$15))/(($D$14*$J$15^2)*(1-1.05*($J$17^1.26))))*'F(T,E)'!F75</f>
        <v>650.28241424813291</v>
      </c>
      <c r="F95" s="17">
        <f>1/$F$29-LN($F$29)+($K$16*EXP($K$16/($D$14*$K$15))/(($D$14*$K$15^2)*(1-1.05*($K$17^1.26))))*'F(T,E)'!G75</f>
        <v>3.2360649941453135</v>
      </c>
      <c r="G95" s="17">
        <f>1/$G$29-LN($G$29)+($L$16*EXP($L$16/($D$14*$L$15))/(($D$14*$L$15^2)*(1-1.05*($L$17^1.26))))*'F(T,E)'!H75</f>
        <v>-2.827848641106065</v>
      </c>
      <c r="H95" s="17">
        <f>1/$H$29-LN($H$29)+($M$16*EXP($M$16/($D$14*$M$15))/(($D$14*$M$15^2)*(1-1.05*($M$17^1.26))))*'F(T,E)'!I75</f>
        <v>-11.506236637336285</v>
      </c>
      <c r="I95" s="17">
        <f>1/$I$29-LN($I$29)+($N$16*EXP($N$16/($D$14*$N$15))/(($D$14*$N$15^2)*(1-1.05*($N$17^1.26))))*'F(T,E)'!J75</f>
        <v>-3.9911445727289943</v>
      </c>
      <c r="J95" s="17">
        <f>1/$J$29-LN($J$29)+($O$16*EXP($O$16/($D$14*$O$15))/(($D$14*$O$15^2)*(1-1.05*($O$17^1.26))))*'F(T,E)'!K75</f>
        <v>-1.6534179028594054</v>
      </c>
      <c r="K95" s="17">
        <f>1/$K$29-LN($K$29)+($P$16*EXP($P$16/($D$14*$P$15))/(($D$14*$P$15^2)*(1-1.05*($P$17^1.26))))*'F(T,E)'!L75</f>
        <v>0.30244355799187234</v>
      </c>
      <c r="L95" s="17">
        <f>1/$L$29-LN($L$29)+($Q$16*EXP($Q$16/($D$14*$Q$15))/(($D$14*$Q$15^2)*(1-1.05*($Q$17^1.26))))*'F(T,E)'!M75</f>
        <v>-1.1827777258722985</v>
      </c>
      <c r="M95" s="17">
        <f>1/$M$29-LN($M$29)+($R$16*EXP($R$16/($D$14*$R$15))/(($D$14*$R$15^2)*(1-1.05*($R$17^1.26))))*'F(T,E)'!N75</f>
        <v>104.88644897154511</v>
      </c>
      <c r="N95" s="17">
        <f>1/$N$29-LN($N$29)+($S$16*EXP($S$16/($D$14*$S$15))/(($D$14*$S$15^2)*(1-1.05*($S$17^1.26))))*'F(T,E)'!O75</f>
        <v>-11.512905421416667</v>
      </c>
      <c r="O95" s="25"/>
      <c r="P95" s="20">
        <f t="shared" si="5"/>
        <v>643.81500282598893</v>
      </c>
      <c r="Q95" s="20">
        <f t="shared" si="6"/>
        <v>2.3722332029425379</v>
      </c>
      <c r="R95" s="20">
        <f t="shared" si="7"/>
        <v>5.592341804160398E-2</v>
      </c>
      <c r="S95" s="20">
        <f t="shared" si="8"/>
        <v>1.0067011132795122E-5</v>
      </c>
      <c r="T95" s="20">
        <f t="shared" si="9"/>
        <v>1.814625941865004E-2</v>
      </c>
      <c r="U95" s="20">
        <f t="shared" si="10"/>
        <v>0.16266213261214643</v>
      </c>
      <c r="V95" s="20">
        <f t="shared" si="11"/>
        <v>0.68328572567728008</v>
      </c>
      <c r="W95" s="20">
        <f t="shared" si="12"/>
        <v>0.24084092010819361</v>
      </c>
      <c r="X95" s="20">
        <f t="shared" si="13"/>
        <v>100.27849767962348</v>
      </c>
      <c r="Y95" s="20">
        <f t="shared" si="14"/>
        <v>1.0000100435035623E-5</v>
      </c>
      <c r="Z95" s="25"/>
      <c r="AA95" s="20">
        <f t="shared" si="16"/>
        <v>1.5252712236278902</v>
      </c>
      <c r="AB95" s="20">
        <f t="shared" si="17"/>
        <v>1350.6002801845434</v>
      </c>
      <c r="AC95" s="20">
        <f t="shared" si="18"/>
        <v>32523.706342018359</v>
      </c>
      <c r="AD95" s="20">
        <f t="shared" si="19"/>
        <v>1606.7065288644101</v>
      </c>
      <c r="AE95" s="20">
        <f t="shared" si="20"/>
        <v>44.194591197408769</v>
      </c>
      <c r="AF95" s="20">
        <f t="shared" si="21"/>
        <v>0.23417407022947767</v>
      </c>
      <c r="AG95" s="20">
        <f t="shared" si="22"/>
        <v>1.6293765921893064E-3</v>
      </c>
      <c r="AH95" s="20">
        <f t="shared" si="23"/>
        <v>8.3533429028940095E-6</v>
      </c>
      <c r="AI95" s="20">
        <f t="shared" si="24"/>
        <v>0</v>
      </c>
      <c r="AJ95" s="20">
        <v>50</v>
      </c>
      <c r="AK95" s="25"/>
      <c r="AL95" s="20">
        <f t="shared" si="25"/>
        <v>35576.968825288517</v>
      </c>
      <c r="AM95" s="25"/>
      <c r="AN95" s="20">
        <f t="shared" si="26"/>
        <v>730971.69221522694</v>
      </c>
      <c r="AO95" s="20">
        <f t="shared" si="27"/>
        <v>854.96882528851711</v>
      </c>
      <c r="AQ95" s="20">
        <f t="shared" si="28"/>
        <v>1.1152595193393122E-4</v>
      </c>
      <c r="AR95" s="20">
        <v>414</v>
      </c>
      <c r="AS95" s="20">
        <f t="shared" si="29"/>
        <v>-0.24623259757171739</v>
      </c>
    </row>
    <row r="96" spans="2:45" x14ac:dyDescent="0.3">
      <c r="B96" s="32">
        <v>142</v>
      </c>
      <c r="C96" s="32">
        <v>37854</v>
      </c>
      <c r="D96" s="7">
        <f t="shared" si="15"/>
        <v>415</v>
      </c>
      <c r="E96" s="17">
        <f>1/$E$29-LN($E$29)+($J$16*EXP($J$16/($D$14*$J$15))/(($D$14*$J$15^2)*(1-1.05*($J$17^1.26))))*'F(T,E)'!F76</f>
        <v>697.88854361573749</v>
      </c>
      <c r="F96" s="17">
        <f>1/$F$29-LN($F$29)+($K$16*EXP($K$16/($D$14*$K$15))/(($D$14*$K$15^2)*(1-1.05*($K$17^1.26))))*'F(T,E)'!G76</f>
        <v>3.9873991655103564</v>
      </c>
      <c r="G96" s="17">
        <f>1/$G$29-LN($G$29)+($L$16*EXP($L$16/($D$14*$L$15))/(($D$14*$L$15^2)*(1-1.05*($L$17^1.26))))*'F(T,E)'!H76</f>
        <v>-2.8059900834390086</v>
      </c>
      <c r="H96" s="17">
        <f>1/$H$29-LN($H$29)+($M$16*EXP($M$16/($D$14*$M$15))/(($D$14*$M$15^2)*(1-1.05*($M$17^1.26))))*'F(T,E)'!I76</f>
        <v>-11.50542022053542</v>
      </c>
      <c r="I96" s="17">
        <f>1/$I$29-LN($I$29)+($N$16*EXP($N$16/($D$14*$N$15))/(($D$14*$N$15^2)*(1-1.05*($N$17^1.26))))*'F(T,E)'!J76</f>
        <v>-3.9911344574053729</v>
      </c>
      <c r="J96" s="17">
        <f>1/$J$29-LN($J$29)+($O$16*EXP($O$16/($D$14*$O$15))/(($D$14*$O$15^2)*(1-1.05*($O$17^1.26))))*'F(T,E)'!K76</f>
        <v>-1.6534149988125906</v>
      </c>
      <c r="K96" s="17">
        <f>1/$K$29-LN($K$29)+($P$16*EXP($P$16/($D$14*$P$15))/(($D$14*$P$15^2)*(1-1.05*($P$17^1.26))))*'F(T,E)'!L76</f>
        <v>0.30244357397111943</v>
      </c>
      <c r="L96" s="17">
        <f>1/$L$29-LN($L$29)+($Q$16*EXP($Q$16/($D$14*$Q$15))/(($D$14*$Q$15^2)*(1-1.05*($Q$17^1.26))))*'F(T,E)'!M76</f>
        <v>-1.1827777257481744</v>
      </c>
      <c r="M96" s="17">
        <f>1/$M$29-LN($M$29)+($R$16*EXP($R$16/($D$14*$R$15))/(($D$14*$R$15^2)*(1-1.05*($R$17^1.26))))*'F(T,E)'!N76</f>
        <v>107.75373695414331</v>
      </c>
      <c r="N96" s="17">
        <f>1/$N$29-LN($N$29)+($S$16*EXP($S$16/($D$14*$S$15))/(($D$14*$S$15^2)*(1-1.05*($S$17^1.26))))*'F(T,E)'!O76</f>
        <v>-11.512905416058199</v>
      </c>
      <c r="O96" s="25"/>
      <c r="P96" s="20">
        <f t="shared" si="5"/>
        <v>691.3498975560824</v>
      </c>
      <c r="Q96" s="20">
        <f t="shared" si="6"/>
        <v>2.9168834357440629</v>
      </c>
      <c r="R96" s="20">
        <f t="shared" si="7"/>
        <v>5.7092496544478816E-2</v>
      </c>
      <c r="S96" s="20">
        <f t="shared" si="8"/>
        <v>1.0075233282906204E-5</v>
      </c>
      <c r="T96" s="20">
        <f t="shared" si="9"/>
        <v>1.8146439703339401E-2</v>
      </c>
      <c r="U96" s="20">
        <f t="shared" si="10"/>
        <v>0.16266253890297011</v>
      </c>
      <c r="V96" s="20">
        <f t="shared" si="11"/>
        <v>0.68328573216363664</v>
      </c>
      <c r="W96" s="20">
        <f t="shared" si="12"/>
        <v>0.24084092013228547</v>
      </c>
      <c r="X96" s="20">
        <f t="shared" si="13"/>
        <v>103.11786430648628</v>
      </c>
      <c r="Y96" s="20">
        <f t="shared" si="14"/>
        <v>1.0000100488620299E-5</v>
      </c>
      <c r="Z96" s="25"/>
      <c r="AA96" s="20">
        <f t="shared" si="16"/>
        <v>1.4126457782087429</v>
      </c>
      <c r="AB96" s="20">
        <f t="shared" si="17"/>
        <v>1029.4968188724811</v>
      </c>
      <c r="AC96" s="20">
        <f t="shared" si="18"/>
        <v>34888.404879478192</v>
      </c>
      <c r="AD96" s="20">
        <f t="shared" si="19"/>
        <v>1793.455866202607</v>
      </c>
      <c r="AE96" s="20">
        <f t="shared" si="20"/>
        <v>51.274424124025543</v>
      </c>
      <c r="AF96" s="20">
        <f t="shared" si="21"/>
        <v>0.2632858531147626</v>
      </c>
      <c r="AG96" s="20">
        <f t="shared" si="22"/>
        <v>1.9005137364844725E-3</v>
      </c>
      <c r="AH96" s="20">
        <f t="shared" si="23"/>
        <v>9.8094196145070922E-6</v>
      </c>
      <c r="AI96" s="20">
        <f t="shared" si="24"/>
        <v>0</v>
      </c>
      <c r="AJ96" s="20">
        <v>50</v>
      </c>
      <c r="AK96" s="25"/>
      <c r="AL96" s="20">
        <f t="shared" si="25"/>
        <v>37814.309830631792</v>
      </c>
      <c r="AM96" s="25"/>
      <c r="AN96" s="20">
        <f t="shared" si="26"/>
        <v>1575.309544477072</v>
      </c>
      <c r="AO96" s="20">
        <f t="shared" si="27"/>
        <v>39.690169368208444</v>
      </c>
      <c r="AQ96" s="20">
        <f t="shared" si="28"/>
        <v>5.1773629520522535E-6</v>
      </c>
      <c r="AR96" s="20">
        <v>415</v>
      </c>
      <c r="AS96" s="20">
        <f t="shared" si="29"/>
        <v>1.0485066140489364E-2</v>
      </c>
    </row>
    <row r="97" spans="2:45" x14ac:dyDescent="0.3">
      <c r="B97" s="32">
        <v>144</v>
      </c>
      <c r="C97" s="32">
        <v>41342</v>
      </c>
      <c r="D97" s="7">
        <f t="shared" si="15"/>
        <v>417</v>
      </c>
      <c r="E97" s="17">
        <f>1/$E$29-LN($E$29)+($J$16*EXP($J$16/($D$14*$J$15))/(($D$14*$J$15^2)*(1-1.05*($J$17^1.26))))*'F(T,E)'!F77</f>
        <v>802.9625692756747</v>
      </c>
      <c r="F97" s="17">
        <f>1/$F$29-LN($F$29)+($K$16*EXP($K$16/($D$14*$K$15))/(($D$14*$K$15^2)*(1-1.05*($K$17^1.26))))*'F(T,E)'!G77</f>
        <v>5.6947956792405607</v>
      </c>
      <c r="G97" s="17">
        <f>1/$G$29-LN($G$29)+($L$16*EXP($L$16/($D$14*$L$15))/(($D$14*$L$15^2)*(1-1.05*($L$17^1.26))))*'F(T,E)'!H77</f>
        <v>-2.7557825203516977</v>
      </c>
      <c r="H97" s="17">
        <f>1/$H$29-LN($H$29)+($M$16*EXP($M$16/($D$14*$M$15))/(($D$14*$M$15^2)*(1-1.05*($M$17^1.26))))*'F(T,E)'!I77</f>
        <v>-11.503490653164571</v>
      </c>
      <c r="I97" s="17">
        <f>1/$I$29-LN($I$29)+($N$16*EXP($N$16/($D$14*$N$15))/(($D$14*$N$15^2)*(1-1.05*($N$17^1.26))))*'F(T,E)'!J77</f>
        <v>-3.9911091297009262</v>
      </c>
      <c r="J97" s="17">
        <f>1/$J$29-LN($J$29)+($O$16*EXP($O$16/($D$14*$O$15))/(($D$14*$O$15^2)*(1-1.05*($O$17^1.26))))*'F(T,E)'!K77</f>
        <v>-1.6534080679799064</v>
      </c>
      <c r="K97" s="17">
        <f>1/$K$29-LN($K$29)+($P$16*EXP($P$16/($D$14*$P$15))/(($D$14*$P$15^2)*(1-1.05*($P$17^1.26))))*'F(T,E)'!L77</f>
        <v>0.3024436143091484</v>
      </c>
      <c r="L97" s="17">
        <f>1/$L$29-LN($L$29)+($Q$16*EXP($Q$16/($D$14*$Q$15))/(($D$14*$Q$15^2)*(1-1.05*($Q$17^1.26))))*'F(T,E)'!M77</f>
        <v>-1.182777725431575</v>
      </c>
      <c r="M97" s="17">
        <f>1/$M$29-LN($M$29)+($R$16*EXP($R$16/($D$14*$R$15))/(($D$14*$R$15^2)*(1-1.05*($R$17^1.26))))*'F(T,E)'!N77</f>
        <v>113.6608738082035</v>
      </c>
      <c r="N97" s="17">
        <f>1/$N$29-LN($N$29)+($S$16*EXP($S$16/($D$14*$S$15))/(($D$14*$S$15^2)*(1-1.05*($S$17^1.26))))*'F(T,E)'!O77</f>
        <v>-11.512905403375942</v>
      </c>
      <c r="O97" s="25"/>
      <c r="P97" s="20">
        <f t="shared" si="5"/>
        <v>796.27842594595791</v>
      </c>
      <c r="Q97" s="20">
        <f t="shared" si="6"/>
        <v>4.2482812013233868</v>
      </c>
      <c r="R97" s="20">
        <f t="shared" si="7"/>
        <v>5.9865888575946102E-2</v>
      </c>
      <c r="S97" s="20">
        <f t="shared" si="8"/>
        <v>1.0094692696142018E-5</v>
      </c>
      <c r="T97" s="20">
        <f t="shared" si="9"/>
        <v>1.8146891124921273E-2</v>
      </c>
      <c r="U97" s="20">
        <f t="shared" si="10"/>
        <v>0.1626635085650118</v>
      </c>
      <c r="V97" s="20">
        <f t="shared" si="11"/>
        <v>0.68328574853780266</v>
      </c>
      <c r="W97" s="20">
        <f t="shared" si="12"/>
        <v>0.24084092019373582</v>
      </c>
      <c r="X97" s="20">
        <f t="shared" si="13"/>
        <v>108.96980300104379</v>
      </c>
      <c r="Y97" s="20">
        <f t="shared" si="14"/>
        <v>1.0000100615442875E-5</v>
      </c>
      <c r="Z97" s="25"/>
      <c r="AA97" s="20">
        <f t="shared" si="16"/>
        <v>1.2133849351461261</v>
      </c>
      <c r="AB97" s="20">
        <f t="shared" si="17"/>
        <v>624.43827974819953</v>
      </c>
      <c r="AC97" s="20">
        <f t="shared" si="18"/>
        <v>39834.738348585954</v>
      </c>
      <c r="AD97" s="20">
        <f t="shared" si="19"/>
        <v>2230.374974381491</v>
      </c>
      <c r="AE97" s="20">
        <f t="shared" si="20"/>
        <v>68.870516945086763</v>
      </c>
      <c r="AF97" s="20">
        <f t="shared" si="21"/>
        <v>0.33225555895001163</v>
      </c>
      <c r="AG97" s="20">
        <f t="shared" si="22"/>
        <v>2.5799318022348299E-3</v>
      </c>
      <c r="AH97" s="20">
        <f t="shared" si="23"/>
        <v>1.3496005509966677E-5</v>
      </c>
      <c r="AI97" s="20">
        <f t="shared" si="24"/>
        <v>0</v>
      </c>
      <c r="AJ97" s="20">
        <v>50</v>
      </c>
      <c r="AK97" s="25"/>
      <c r="AL97" s="20">
        <f t="shared" si="25"/>
        <v>42809.970353582634</v>
      </c>
      <c r="AM97" s="25"/>
      <c r="AN97" s="20">
        <f t="shared" si="26"/>
        <v>2154936.9589975229</v>
      </c>
      <c r="AO97" s="20">
        <f t="shared" si="27"/>
        <v>1467.9703535826338</v>
      </c>
      <c r="AQ97" s="20">
        <f t="shared" si="28"/>
        <v>1.9148860900143944E-4</v>
      </c>
      <c r="AR97" s="20">
        <v>417</v>
      </c>
      <c r="AS97" s="20">
        <f t="shared" si="29"/>
        <v>-0.35507966561429877</v>
      </c>
    </row>
    <row r="98" spans="2:45" x14ac:dyDescent="0.3">
      <c r="B98" s="32">
        <v>145</v>
      </c>
      <c r="C98" s="32">
        <v>45266</v>
      </c>
      <c r="D98" s="7">
        <f t="shared" si="15"/>
        <v>418</v>
      </c>
      <c r="E98" s="17">
        <f>1/$E$29-LN($E$29)+($J$16*EXP($J$16/($D$14*$J$15))/(($D$14*$J$15^2)*(1-1.05*($J$17^1.26))))*'F(T,E)'!F78</f>
        <v>860.84342985960848</v>
      </c>
      <c r="F98" s="17">
        <f>1/$F$29-LN($F$29)+($K$16*EXP($K$16/($D$14*$K$15))/(($D$14*$K$15^2)*(1-1.05*($K$17^1.26))))*'F(T,E)'!G78</f>
        <v>6.6622988450253908</v>
      </c>
      <c r="G98" s="17">
        <f>1/$G$29-LN($G$29)+($L$16*EXP($L$16/($D$14*$L$15))/(($D$14*$L$15^2)*(1-1.05*($L$17^1.26))))*'F(T,E)'!H78</f>
        <v>-2.7270369587738958</v>
      </c>
      <c r="H98" s="17">
        <f>1/$H$29-LN($H$29)+($M$16*EXP($M$16/($D$14*$M$15))/(($D$14*$M$15^2)*(1-1.05*($M$17^1.26))))*'F(T,E)'!I78</f>
        <v>-11.502355180610801</v>
      </c>
      <c r="I98" s="17">
        <f>1/$I$29-LN($I$29)+($N$16*EXP($N$16/($D$14*$N$15))/(($D$14*$N$15^2)*(1-1.05*($N$17^1.26))))*'F(T,E)'!J78</f>
        <v>-3.991093383513435</v>
      </c>
      <c r="J98" s="17">
        <f>1/$J$29-LN($J$29)+($O$16*EXP($O$16/($D$14*$O$15))/(($D$14*$O$15^2)*(1-1.05*($O$17^1.26))))*'F(T,E)'!K78</f>
        <v>-1.6534039512412235</v>
      </c>
      <c r="K98" s="17">
        <f>1/$K$29-LN($K$29)+($P$16*EXP($P$16/($D$14*$P$15))/(($D$14*$P$15^2)*(1-1.05*($P$17^1.26))))*'F(T,E)'!L78</f>
        <v>0.30244363958130943</v>
      </c>
      <c r="L98" s="17">
        <f>1/$L$29-LN($L$29)+($Q$16*EXP($Q$16/($D$14*$Q$15))/(($D$14*$Q$15^2)*(1-1.05*($Q$17^1.26))))*'F(T,E)'!M78</f>
        <v>-1.1827777252312761</v>
      </c>
      <c r="M98" s="17">
        <f>1/$M$29-LN($M$29)+($R$16*EXP($R$16/($D$14*$R$15))/(($D$14*$R$15^2)*(1-1.05*($R$17^1.26))))*'F(T,E)'!N78</f>
        <v>116.70242855295186</v>
      </c>
      <c r="N98" s="17">
        <f>1/$N$29-LN($N$29)+($S$16*EXP($S$16/($D$14*$S$15))/(($D$14*$S$15^2)*(1-1.05*($S$17^1.26))))*'F(T,E)'!O78</f>
        <v>-11.512905395902933</v>
      </c>
      <c r="O98" s="25"/>
      <c r="P98" s="20">
        <f t="shared" si="5"/>
        <v>854.08944238800632</v>
      </c>
      <c r="Q98" s="20">
        <f t="shared" si="6"/>
        <v>5.0440829765189745</v>
      </c>
      <c r="R98" s="20">
        <f t="shared" si="7"/>
        <v>6.151049584302383E-2</v>
      </c>
      <c r="S98" s="20">
        <f t="shared" si="8"/>
        <v>1.0106161336730189E-5</v>
      </c>
      <c r="T98" s="20">
        <f t="shared" si="9"/>
        <v>1.8147171778452455E-2</v>
      </c>
      <c r="U98" s="20">
        <f t="shared" si="10"/>
        <v>0.16266408452200432</v>
      </c>
      <c r="V98" s="20">
        <f t="shared" si="11"/>
        <v>0.68328575879637421</v>
      </c>
      <c r="W98" s="20">
        <f t="shared" si="12"/>
        <v>0.2408409202326128</v>
      </c>
      <c r="X98" s="20">
        <f t="shared" si="13"/>
        <v>111.98407190688737</v>
      </c>
      <c r="Y98" s="20">
        <f t="shared" si="14"/>
        <v>1.000010069017297E-5</v>
      </c>
      <c r="Z98" s="25"/>
      <c r="AA98" s="20">
        <f t="shared" si="16"/>
        <v>1.1252884648955217</v>
      </c>
      <c r="AB98" s="20">
        <f t="shared" si="17"/>
        <v>496.54886681704392</v>
      </c>
      <c r="AC98" s="20">
        <f t="shared" si="18"/>
        <v>42383.200350909319</v>
      </c>
      <c r="AD98" s="20">
        <f t="shared" si="19"/>
        <v>2484.875049184639</v>
      </c>
      <c r="AE98" s="20">
        <f t="shared" si="20"/>
        <v>79.733060600927217</v>
      </c>
      <c r="AF98" s="20">
        <f t="shared" si="21"/>
        <v>0.37293378848199416</v>
      </c>
      <c r="AG98" s="20">
        <f t="shared" si="22"/>
        <v>3.0026208841031723E-3</v>
      </c>
      <c r="AH98" s="20">
        <f t="shared" si="23"/>
        <v>1.5812079243862259E-5</v>
      </c>
      <c r="AI98" s="20">
        <f t="shared" si="24"/>
        <v>0</v>
      </c>
      <c r="AJ98" s="20">
        <v>50</v>
      </c>
      <c r="AK98" s="25"/>
      <c r="AL98" s="20">
        <f t="shared" si="25"/>
        <v>45495.858568198266</v>
      </c>
      <c r="AM98" s="25"/>
      <c r="AN98" s="20">
        <f t="shared" si="26"/>
        <v>52834.961374156839</v>
      </c>
      <c r="AO98" s="20">
        <f t="shared" si="27"/>
        <v>229.85856819826586</v>
      </c>
      <c r="AQ98" s="20">
        <f t="shared" si="28"/>
        <v>2.998377820364528E-5</v>
      </c>
      <c r="AR98" s="20">
        <v>418</v>
      </c>
      <c r="AS98" s="20">
        <f t="shared" si="29"/>
        <v>-5.0779518446133043E-2</v>
      </c>
    </row>
    <row r="99" spans="2:45" x14ac:dyDescent="0.3">
      <c r="B99" s="32">
        <v>146</v>
      </c>
      <c r="C99" s="32">
        <v>49372</v>
      </c>
      <c r="D99" s="7">
        <f t="shared" si="15"/>
        <v>419</v>
      </c>
      <c r="E99" s="17">
        <f>1/$E$29-LN($E$29)+($J$16*EXP($J$16/($D$14*$J$15))/(($D$14*$J$15^2)*(1-1.05*($J$17^1.26))))*'F(T,E)'!F79</f>
        <v>922.58178335262926</v>
      </c>
      <c r="F99" s="17">
        <f>1/$F$29-LN($F$29)+($K$16*EXP($K$16/($D$14*$K$15))/(($D$14*$K$15^2)*(1-1.05*($K$17^1.26))))*'F(T,E)'!G79</f>
        <v>7.7140398344472692</v>
      </c>
      <c r="G99" s="17">
        <f>1/$G$29-LN($G$29)+($L$16*EXP($L$16/($D$14*$L$15))/(($D$14*$L$15^2)*(1-1.05*($L$17^1.26))))*'F(T,E)'!H79</f>
        <v>-2.6955709624952626</v>
      </c>
      <c r="H99" s="17">
        <f>1/$H$29-LN($H$29)+($M$16*EXP($M$16/($D$14*$M$15))/(($D$14*$M$15^2)*(1-1.05*($M$17^1.26))))*'F(T,E)'!I79</f>
        <v>-11.501089060090051</v>
      </c>
      <c r="I99" s="17">
        <f>1/$I$29-LN($I$29)+($N$16*EXP($N$16/($D$14*$N$15))/(($D$14*$N$15^2)*(1-1.05*($N$17^1.26))))*'F(T,E)'!J79</f>
        <v>-3.9910751601597729</v>
      </c>
      <c r="J99" s="17">
        <f>1/$J$29-LN($J$29)+($O$16*EXP($O$16/($D$14*$O$15))/(($D$14*$O$15^2)*(1-1.05*($O$17^1.26))))*'F(T,E)'!K79</f>
        <v>-1.653399331826187</v>
      </c>
      <c r="K99" s="17">
        <f>1/$K$29-LN($K$29)+($P$16*EXP($P$16/($D$14*$P$15))/(($D$14*$P$15^2)*(1-1.05*($P$17^1.26))))*'F(T,E)'!L79</f>
        <v>0.30244366898285296</v>
      </c>
      <c r="L99" s="17">
        <f>1/$L$29-LN($L$29)+($Q$16*EXP($Q$16/($D$14*$Q$15))/(($D$14*$Q$15^2)*(1-1.05*($Q$17^1.26))))*'F(T,E)'!M79</f>
        <v>-1.1827777249966962</v>
      </c>
      <c r="M99" s="17">
        <f>1/$M$29-LN($M$29)+($R$16*EXP($R$16/($D$14*$R$15))/(($D$14*$R$15^2)*(1-1.05*($R$17^1.26))))*'F(T,E)'!N79</f>
        <v>119.80379049593461</v>
      </c>
      <c r="N99" s="17">
        <f>1/$N$29-LN($N$29)+($S$16*EXP($S$16/($D$14*$S$15))/(($D$14*$S$15^2)*(1-1.05*($S$17^1.26))))*'F(T,E)'!O79</f>
        <v>-11.512905387562535</v>
      </c>
      <c r="O99" s="25"/>
      <c r="P99" s="20">
        <f t="shared" ref="P99:P162" si="30">lmb_2(E99)</f>
        <v>915.75830736498972</v>
      </c>
      <c r="Q99" s="20">
        <f t="shared" ref="Q99:Q162" si="31">lmb_2(F99)</f>
        <v>5.9334363102994931</v>
      </c>
      <c r="R99" s="20">
        <f t="shared" ref="R99:R162" si="32">lmb_2(G99)</f>
        <v>6.3359497642011112E-2</v>
      </c>
      <c r="S99" s="20">
        <f t="shared" ref="S99:S162" si="33">lmb_2(H99)</f>
        <v>1.0118964929242727E-5</v>
      </c>
      <c r="T99" s="20">
        <f t="shared" ref="T99:T162" si="34">lmb_2(I99)</f>
        <v>1.8147496589290484E-2</v>
      </c>
      <c r="U99" s="20">
        <f t="shared" ref="U99:U162" si="35">lmb_2(J99)</f>
        <v>0.16266473080859029</v>
      </c>
      <c r="V99" s="20">
        <f t="shared" ref="V99:V162" si="36">lmb_2(K99)</f>
        <v>0.6832857707311607</v>
      </c>
      <c r="W99" s="20">
        <f t="shared" ref="W99:W162" si="37">lmb_2(L99)</f>
        <v>0.24084092027814358</v>
      </c>
      <c r="X99" s="20">
        <f t="shared" ref="X99:X162" si="38">lmb_2(M99)</f>
        <v>115.05835109542583</v>
      </c>
      <c r="Y99" s="20">
        <f t="shared" ref="Y99:Y162" si="39">lmb_2(N99)</f>
        <v>1.0000100773576962E-5</v>
      </c>
      <c r="Z99" s="25"/>
      <c r="AA99" s="20">
        <f t="shared" si="16"/>
        <v>1.0440326833863898</v>
      </c>
      <c r="AB99" s="20">
        <f t="shared" si="17"/>
        <v>399.94571966200152</v>
      </c>
      <c r="AC99" s="20">
        <f t="shared" si="18"/>
        <v>44953.388330166461</v>
      </c>
      <c r="AD99" s="20">
        <f t="shared" si="19"/>
        <v>2766.6112585462615</v>
      </c>
      <c r="AE99" s="20">
        <f t="shared" si="20"/>
        <v>92.244146091681145</v>
      </c>
      <c r="AF99" s="20">
        <f t="shared" si="21"/>
        <v>0.41836135707352917</v>
      </c>
      <c r="AG99" s="20">
        <f t="shared" si="22"/>
        <v>3.4920323046759103E-3</v>
      </c>
      <c r="AH99" s="20">
        <f t="shared" si="23"/>
        <v>1.8511618614608018E-5</v>
      </c>
      <c r="AI99" s="20">
        <f t="shared" si="24"/>
        <v>0</v>
      </c>
      <c r="AJ99" s="20">
        <v>50</v>
      </c>
      <c r="AK99" s="25"/>
      <c r="AL99" s="20">
        <f t="shared" si="25"/>
        <v>48263.655359050783</v>
      </c>
      <c r="AM99" s="25"/>
      <c r="AN99" s="20">
        <f t="shared" si="26"/>
        <v>1228427.843120849</v>
      </c>
      <c r="AO99" s="20">
        <f t="shared" si="27"/>
        <v>1108.3446409492171</v>
      </c>
      <c r="AQ99" s="20">
        <f t="shared" si="28"/>
        <v>1.4457742492659845E-4</v>
      </c>
      <c r="AR99" s="20">
        <v>419</v>
      </c>
      <c r="AS99" s="20">
        <f t="shared" si="29"/>
        <v>0.22448850379754054</v>
      </c>
    </row>
    <row r="100" spans="2:45" x14ac:dyDescent="0.3">
      <c r="B100" s="32">
        <v>148</v>
      </c>
      <c r="C100" s="32">
        <v>53470</v>
      </c>
      <c r="D100" s="7">
        <f t="shared" ref="D100:D163" si="40">B100+273</f>
        <v>421</v>
      </c>
      <c r="E100" s="17">
        <f>1/$E$29-LN($E$29)+($J$16*EXP($J$16/($D$14*$J$15))/(($D$14*$J$15^2)*(1-1.05*($J$17^1.26))))*'F(T,E)'!F80</f>
        <v>1058.5914755287026</v>
      </c>
      <c r="F100" s="17">
        <f>1/$F$29-LN($F$29)+($K$16*EXP($K$16/($D$14*$K$15))/(($D$14*$K$15^2)*(1-1.05*($K$17^1.26))))*'F(T,E)'!G80</f>
        <v>10.098275970212917</v>
      </c>
      <c r="G100" s="17">
        <f>1/$G$29-LN($G$29)+($L$16*EXP($L$16/($D$14*$L$15))/(($D$14*$L$15^2)*(1-1.05*($L$17^1.26))))*'F(T,E)'!H80</f>
        <v>-2.6234869487429089</v>
      </c>
      <c r="H100" s="17">
        <f>1/$H$29-LN($H$29)+($M$16*EXP($M$16/($D$14*$M$15))/(($D$14*$M$15^2)*(1-1.05*($M$17^1.26))))*'F(T,E)'!I80</f>
        <v>-11.498106193586926</v>
      </c>
      <c r="I100" s="17">
        <f>1/$I$29-LN($I$29)+($N$16*EXP($N$16/($D$14*$N$15))/(($D$14*$N$15^2)*(1-1.05*($N$17^1.26))))*'F(T,E)'!J80</f>
        <v>-3.9910297273472368</v>
      </c>
      <c r="J100" s="17">
        <f>1/$J$29-LN($J$29)+($O$16*EXP($O$16/($D$14*$O$15))/(($D$14*$O$15^2)*(1-1.05*($O$17^1.26))))*'F(T,E)'!K80</f>
        <v>-1.6533883443550488</v>
      </c>
      <c r="K100" s="17">
        <f>1/$K$29-LN($K$29)+($P$16*EXP($P$16/($D$14*$P$15))/(($D$14*$P$15^2)*(1-1.05*($P$17^1.26))))*'F(T,E)'!L80</f>
        <v>0.30244374287272857</v>
      </c>
      <c r="L100" s="17">
        <f>1/$L$29-LN($L$29)+($Q$16*EXP($Q$16/($D$14*$Q$15))/(($D$14*$Q$15^2)*(1-1.05*($Q$17^1.26))))*'F(T,E)'!M80</f>
        <v>-1.1827777244011517</v>
      </c>
      <c r="M100" s="17">
        <f>1/$M$29-LN($M$29)+($R$16*EXP($R$16/($D$14*$R$15))/(($D$14*$R$15^2)*(1-1.05*($R$17^1.26))))*'F(T,E)'!N80</f>
        <v>126.18942955824988</v>
      </c>
      <c r="N100" s="17">
        <f>1/$N$29-LN($N$29)+($S$16*EXP($S$16/($D$14*$S$15))/(($D$14*$S$15^2)*(1-1.05*($S$17^1.26))))*'F(T,E)'!O80</f>
        <v>-11.512905367886313</v>
      </c>
      <c r="O100" s="25"/>
      <c r="P100" s="20">
        <f t="shared" si="30"/>
        <v>1051.6300706263742</v>
      </c>
      <c r="Q100" s="20">
        <f t="shared" si="31"/>
        <v>8.0167436584150735</v>
      </c>
      <c r="R100" s="20">
        <f t="shared" si="32"/>
        <v>6.7794040302308151E-2</v>
      </c>
      <c r="S100" s="20">
        <f t="shared" si="33"/>
        <v>1.0149193205484511E-5</v>
      </c>
      <c r="T100" s="20">
        <f t="shared" si="34"/>
        <v>1.8148306403076134E-2</v>
      </c>
      <c r="U100" s="20">
        <f t="shared" si="35"/>
        <v>0.16266626803703729</v>
      </c>
      <c r="V100" s="20">
        <f t="shared" si="36"/>
        <v>0.68328580072482081</v>
      </c>
      <c r="W100" s="20">
        <f t="shared" si="37"/>
        <v>0.2408409203937357</v>
      </c>
      <c r="X100" s="20">
        <f t="shared" si="38"/>
        <v>121.39041761507036</v>
      </c>
      <c r="Y100" s="20">
        <f t="shared" si="39"/>
        <v>1.0000100970339194E-5</v>
      </c>
      <c r="Z100" s="25"/>
      <c r="AA100" s="20">
        <f t="shared" ref="AA100:AA163" si="41">($J$14*$D$13*($P$32+$P$32^2)/(P100+P100^2)*EXP($J$16*(D100-$J$15)/($D$14*$J$15*D100)))</f>
        <v>0.89981765804842873</v>
      </c>
      <c r="AB100" s="20">
        <f t="shared" ref="AB100:AB163" si="42">($K$14*$D$13*($Q$32+$Q$32^2)/(Q100+Q100^2)*EXP($K$16*(D100-$K$15)/($D$14*$K$15*D100)))</f>
        <v>268.56843508720829</v>
      </c>
      <c r="AC100" s="20">
        <f t="shared" ref="AC100:AC163" si="43">($L$14*$D$13*($R$32+$R$32^2)/(R100+R100^2)*EXP($L$16*(D100-$L$15)/($D$14*$L$15*D100)))</f>
        <v>50048.467619595533</v>
      </c>
      <c r="AD100" s="20">
        <f t="shared" ref="AD100:AD163" si="44">($M$14*$D$13*($S$32+$S$32^2)/(S100+S100^2)*EXP($M$16*(D100-$M$15)/($D$14*$M$15*D100)))</f>
        <v>3422.6856517222946</v>
      </c>
      <c r="AE100" s="20">
        <f t="shared" ref="AE100:AE163" si="45">($N$14*$D$13*($T$32+$T$32^2)/(T100+T100^2)*EXP($N$16*(D100-$N$15)/($D$14*$N$15*D100)))</f>
        <v>123.2064423711054</v>
      </c>
      <c r="AF100" s="20">
        <f t="shared" ref="AF100:AF163" si="46">($O$14*$D$13*($U$32+$U$32^2)/(U100+U100^2)*EXP($O$16*(D100-$O$15)/($D$14*$O$15*D100)))</f>
        <v>0.52562861998279176</v>
      </c>
      <c r="AG100" s="20">
        <f t="shared" ref="AG100:AG163" si="47">($P$14*$D$13*($V$32+$V$32^2)/(V100+V100^2)*EXP($P$16*(D100-$P$15)/($D$14*$P$15*D100)))</f>
        <v>4.7130185688165765E-3</v>
      </c>
      <c r="AH100" s="20">
        <f t="shared" ref="AH100:AH163" si="48">($Q$14*$D$13*($W$32+$W$32^2)/(W100+W100^2)*EXP($Q$16*(D100-$Q$15)/($D$14*$Q$15*D100)))</f>
        <v>2.5315097620381231E-5</v>
      </c>
      <c r="AI100" s="20">
        <f t="shared" ref="AI100:AI163" si="49">($R$14*$D$13*($X$32+$X$32^2)/(X100+X100^2)*EXP($R$16*(D100-$R$15)/($D$14*$R$15*D100)))</f>
        <v>0</v>
      </c>
      <c r="AJ100" s="20">
        <v>50</v>
      </c>
      <c r="AK100" s="25"/>
      <c r="AL100" s="20">
        <f t="shared" ref="AL100:AL163" si="50">SUM(AA100:AJ100)</f>
        <v>53914.358333387834</v>
      </c>
      <c r="AM100" s="25"/>
      <c r="AN100" s="20">
        <f t="shared" ref="AN100:AN163" si="51">(AL100-C100)^2</f>
        <v>197454.32845121354</v>
      </c>
      <c r="AO100" s="20">
        <f t="shared" ref="AO100:AO163" si="52">ABS(AL100-C100)</f>
        <v>444.35833338783414</v>
      </c>
      <c r="AQ100" s="20">
        <f t="shared" ref="AQ100:AQ163" si="53">AO100/$AP$35</f>
        <v>5.7964085549118993E-5</v>
      </c>
      <c r="AR100" s="20">
        <v>421</v>
      </c>
      <c r="AS100" s="20">
        <f t="shared" ref="AS100:AS163" si="54">(C100-AL100)/C100*10</f>
        <v>-8.3104232913378373E-2</v>
      </c>
    </row>
    <row r="101" spans="2:45" x14ac:dyDescent="0.3">
      <c r="B101" s="32">
        <v>149</v>
      </c>
      <c r="C101" s="32">
        <v>57650</v>
      </c>
      <c r="D101" s="7">
        <f t="shared" si="40"/>
        <v>422</v>
      </c>
      <c r="E101" s="17">
        <f>1/$E$29-LN($E$29)+($J$16*EXP($J$16/($D$14*$J$15))/(($D$14*$J$15^2)*(1-1.05*($J$17^1.26))))*'F(T,E)'!F81</f>
        <v>1133.3768710439815</v>
      </c>
      <c r="F101" s="17">
        <f>1/$F$29-LN($F$29)+($K$16*EXP($K$16/($D$14*$K$15))/(($D$14*$K$15^2)*(1-1.05*($K$17^1.26))))*'F(T,E)'!G81</f>
        <v>11.446137917027986</v>
      </c>
      <c r="G101" s="17">
        <f>1/$G$29-LN($G$29)+($L$16*EXP($L$16/($D$14*$L$15))/(($D$14*$L$15^2)*(1-1.05*($L$17^1.26))))*'F(T,E)'!H81</f>
        <v>-2.5823212766376971</v>
      </c>
      <c r="H101" s="17">
        <f>1/$H$29-LN($H$29)+($M$16*EXP($M$16/($D$14*$M$15))/(($D$14*$M$15^2)*(1-1.05*($M$17^1.26))))*'F(T,E)'!I81</f>
        <v>-11.496356252131489</v>
      </c>
      <c r="I101" s="17">
        <f>1/$I$29-LN($I$29)+($N$16*EXP($N$16/($D$14*$N$15))/(($D$14*$N$15^2)*(1-1.05*($N$17^1.26))))*'F(T,E)'!J81</f>
        <v>-3.9910015966509893</v>
      </c>
      <c r="J101" s="17">
        <f>1/$J$29-LN($J$29)+($O$16*EXP($O$16/($D$14*$O$15))/(($D$14*$O$15^2)*(1-1.05*($O$17^1.26))))*'F(T,E)'!K81</f>
        <v>-1.6533818391131434</v>
      </c>
      <c r="K101" s="17">
        <f>1/$K$29-LN($K$29)+($P$16*EXP($P$16/($D$14*$P$15))/(($D$14*$P$15^2)*(1-1.05*($P$17^1.26))))*'F(T,E)'!L81</f>
        <v>0.30244378897073665</v>
      </c>
      <c r="L101" s="17">
        <f>1/$L$29-LN($L$29)+($Q$16*EXP($Q$16/($D$14*$Q$15))/(($D$14*$Q$15^2)*(1-1.05*($Q$17^1.26))))*'F(T,E)'!M81</f>
        <v>-1.1827777240260284</v>
      </c>
      <c r="M101" s="17">
        <f>1/$M$29-LN($M$29)+($R$16*EXP($R$16/($D$14*$R$15))/(($D$14*$R$15^2)*(1-1.05*($R$17^1.26))))*'F(T,E)'!N81</f>
        <v>129.47547204395147</v>
      </c>
      <c r="N101" s="17">
        <f>1/$N$29-LN($N$29)+($S$16*EXP($S$16/($D$14*$S$15))/(($D$14*$S$15^2)*(1-1.05*($S$17^1.26))))*'F(T,E)'!O81</f>
        <v>-11.512905356327778</v>
      </c>
      <c r="O101" s="25"/>
      <c r="P101" s="20">
        <f t="shared" si="30"/>
        <v>1126.3470168630408</v>
      </c>
      <c r="Q101" s="20">
        <f t="shared" si="31"/>
        <v>9.224296942230076</v>
      </c>
      <c r="R101" s="20">
        <f t="shared" si="32"/>
        <v>7.0455315544214789E-2</v>
      </c>
      <c r="S101" s="20">
        <f t="shared" si="33"/>
        <v>1.0166969067668291E-5</v>
      </c>
      <c r="T101" s="20">
        <f t="shared" si="34"/>
        <v>1.8148807834369274E-2</v>
      </c>
      <c r="U101" s="20">
        <f t="shared" si="35"/>
        <v>0.16266717817436449</v>
      </c>
      <c r="V101" s="20">
        <f t="shared" si="36"/>
        <v>0.68328581943710054</v>
      </c>
      <c r="W101" s="20">
        <f t="shared" si="37"/>
        <v>0.24084092046654526</v>
      </c>
      <c r="X101" s="20">
        <f t="shared" si="38"/>
        <v>124.64996253454716</v>
      </c>
      <c r="Y101" s="20">
        <f t="shared" si="39"/>
        <v>1.0000101085924561E-5</v>
      </c>
      <c r="Z101" s="25"/>
      <c r="AA101" s="20">
        <f t="shared" si="41"/>
        <v>0.8358680968534683</v>
      </c>
      <c r="AB101" s="20">
        <f t="shared" si="42"/>
        <v>223.46215861482941</v>
      </c>
      <c r="AC101" s="20">
        <f t="shared" si="43"/>
        <v>52507.17504617438</v>
      </c>
      <c r="AD101" s="20">
        <f t="shared" si="44"/>
        <v>3803.0415906464641</v>
      </c>
      <c r="AE101" s="20">
        <f t="shared" si="45"/>
        <v>142.2432006927813</v>
      </c>
      <c r="AF101" s="20">
        <f t="shared" si="46"/>
        <v>0.58869443255977116</v>
      </c>
      <c r="AG101" s="20">
        <f t="shared" si="47"/>
        <v>5.4694886570571897E-3</v>
      </c>
      <c r="AH101" s="20">
        <f t="shared" si="48"/>
        <v>2.9570865132792363E-5</v>
      </c>
      <c r="AI101" s="20">
        <f t="shared" si="49"/>
        <v>0</v>
      </c>
      <c r="AJ101" s="20">
        <v>50</v>
      </c>
      <c r="AK101" s="25"/>
      <c r="AL101" s="20">
        <f t="shared" si="50"/>
        <v>56727.352057717391</v>
      </c>
      <c r="AM101" s="25"/>
      <c r="AN101" s="20">
        <f t="shared" si="51"/>
        <v>851279.225398332</v>
      </c>
      <c r="AO101" s="20">
        <f t="shared" si="52"/>
        <v>922.64794228260871</v>
      </c>
      <c r="AQ101" s="20">
        <f t="shared" si="53"/>
        <v>1.2035431821531795E-4</v>
      </c>
      <c r="AR101" s="20">
        <v>422</v>
      </c>
      <c r="AS101" s="20">
        <f t="shared" si="54"/>
        <v>0.16004300820166673</v>
      </c>
    </row>
    <row r="102" spans="2:45" x14ac:dyDescent="0.3">
      <c r="B102" s="32">
        <v>151</v>
      </c>
      <c r="C102" s="32">
        <v>61538</v>
      </c>
      <c r="D102" s="7">
        <f t="shared" si="40"/>
        <v>424</v>
      </c>
      <c r="E102" s="17">
        <f>1/$E$29-LN($E$29)+($J$16*EXP($J$16/($D$14*$J$15))/(($D$14*$J$15^2)*(1-1.05*($J$17^1.26))))*'F(T,E)'!F82</f>
        <v>1297.9025273028756</v>
      </c>
      <c r="F102" s="17">
        <f>1/$F$29-LN($F$29)+($K$16*EXP($K$16/($D$14*$K$15))/(($D$14*$K$15^2)*(1-1.05*($K$17^1.26))))*'F(T,E)'!G82</f>
        <v>14.496210422027502</v>
      </c>
      <c r="G102" s="17">
        <f>1/$G$29-LN($G$29)+($L$16*EXP($L$16/($D$14*$L$15))/(($D$14*$L$15^2)*(1-1.05*($L$17^1.26))))*'F(T,E)'!H82</f>
        <v>-2.4881991737247895</v>
      </c>
      <c r="H102" s="17">
        <f>1/$H$29-LN($H$29)+($M$16*EXP($M$16/($D$14*$M$15))/(($D$14*$M$15^2)*(1-1.05*($M$17^1.26))))*'F(T,E)'!I82</f>
        <v>-11.492243178812982</v>
      </c>
      <c r="I102" s="17">
        <f>1/$I$29-LN($I$29)+($N$16*EXP($N$16/($D$14*$N$15))/(($D$14*$N$15^2)*(1-1.05*($N$17^1.26))))*'F(T,E)'!J82</f>
        <v>-3.9909316847517178</v>
      </c>
      <c r="J102" s="17">
        <f>1/$J$29-LN($J$29)+($O$16*EXP($O$16/($D$14*$O$15))/(($D$14*$O$15^2)*(1-1.05*($O$17^1.26))))*'F(T,E)'!K82</f>
        <v>-1.6533664043991882</v>
      </c>
      <c r="K102" s="17">
        <f>1/$K$29-LN($K$29)+($P$16*EXP($P$16/($D$14*$P$15))/(($D$14*$P$15^2)*(1-1.05*($P$17^1.26))))*'F(T,E)'!L82</f>
        <v>0.3024439044425431</v>
      </c>
      <c r="L102" s="17">
        <f>1/$L$29-LN($L$29)+($Q$16*EXP($Q$16/($D$14*$Q$15))/(($D$14*$Q$15^2)*(1-1.05*($Q$17^1.26))))*'F(T,E)'!M82</f>
        <v>-1.1827777230769272</v>
      </c>
      <c r="M102" s="17">
        <f>1/$M$29-LN($M$29)+($R$16*EXP($R$16/($D$14*$R$15))/(($D$14*$R$15^2)*(1-1.05*($R$17^1.26))))*'F(T,E)'!N82</f>
        <v>136.23847200414778</v>
      </c>
      <c r="N102" s="17">
        <f>1/$N$29-LN($N$29)+($S$16*EXP($S$16/($D$14*$S$15))/(($D$14*$S$15^2)*(1-1.05*($S$17^1.26))))*'F(T,E)'!O82</f>
        <v>-11.512905329123743</v>
      </c>
      <c r="O102" s="25"/>
      <c r="P102" s="20">
        <f t="shared" si="30"/>
        <v>1290.7367840758234</v>
      </c>
      <c r="Q102" s="20">
        <f t="shared" si="31"/>
        <v>12.010434600073006</v>
      </c>
      <c r="R102" s="20">
        <f t="shared" si="32"/>
        <v>7.691072833023864E-2</v>
      </c>
      <c r="S102" s="20">
        <f t="shared" si="33"/>
        <v>1.0208872246314284E-5</v>
      </c>
      <c r="T102" s="20">
        <f t="shared" si="34"/>
        <v>1.8150054076963677E-2</v>
      </c>
      <c r="U102" s="20">
        <f t="shared" si="35"/>
        <v>0.16266933763645805</v>
      </c>
      <c r="V102" s="20">
        <f t="shared" si="36"/>
        <v>0.68328586630985888</v>
      </c>
      <c r="W102" s="20">
        <f t="shared" si="37"/>
        <v>0.24084092065076099</v>
      </c>
      <c r="X102" s="20">
        <f t="shared" si="38"/>
        <v>131.36052635151265</v>
      </c>
      <c r="Y102" s="20">
        <f t="shared" si="39"/>
        <v>1.0000101357964938E-5</v>
      </c>
      <c r="Z102" s="25"/>
      <c r="AA102" s="20">
        <f t="shared" si="41"/>
        <v>0.72212814481744769</v>
      </c>
      <c r="AB102" s="20">
        <f t="shared" si="42"/>
        <v>158.76381139630408</v>
      </c>
      <c r="AC102" s="20">
        <f t="shared" si="43"/>
        <v>57049.257682837961</v>
      </c>
      <c r="AD102" s="20">
        <f t="shared" si="44"/>
        <v>4685.2690153263175</v>
      </c>
      <c r="AE102" s="20">
        <f t="shared" si="45"/>
        <v>189.20761969842567</v>
      </c>
      <c r="AF102" s="20">
        <f t="shared" si="46"/>
        <v>0.73724922571869234</v>
      </c>
      <c r="AG102" s="20">
        <f t="shared" si="47"/>
        <v>7.3506719879045997E-3</v>
      </c>
      <c r="AH102" s="20">
        <f t="shared" si="48"/>
        <v>4.0260383770681098E-5</v>
      </c>
      <c r="AI102" s="20">
        <f t="shared" si="49"/>
        <v>0</v>
      </c>
      <c r="AJ102" s="20">
        <v>50</v>
      </c>
      <c r="AK102" s="25"/>
      <c r="AL102" s="20">
        <f t="shared" si="50"/>
        <v>62133.964897561913</v>
      </c>
      <c r="AM102" s="25"/>
      <c r="AN102" s="20">
        <f t="shared" si="51"/>
        <v>355174.15912598139</v>
      </c>
      <c r="AO102" s="20">
        <f t="shared" si="52"/>
        <v>595.96489756191295</v>
      </c>
      <c r="AQ102" s="20">
        <f t="shared" si="53"/>
        <v>7.7740322867761563E-5</v>
      </c>
      <c r="AR102" s="20">
        <v>424</v>
      </c>
      <c r="AS102" s="20">
        <f t="shared" si="54"/>
        <v>-9.6845022191477281E-2</v>
      </c>
    </row>
    <row r="103" spans="2:45" x14ac:dyDescent="0.3">
      <c r="B103" s="32">
        <v>153</v>
      </c>
      <c r="C103" s="32">
        <v>66004</v>
      </c>
      <c r="D103" s="7">
        <f t="shared" si="40"/>
        <v>426</v>
      </c>
      <c r="E103" s="17">
        <f>1/$E$29-LN($E$29)+($J$16*EXP($J$16/($D$14*$J$15))/(($D$14*$J$15^2)*(1-1.05*($J$17^1.26))))*'F(T,E)'!F83</f>
        <v>1484.4090153119196</v>
      </c>
      <c r="F103" s="17">
        <f>1/$F$29-LN($F$29)+($K$16*EXP($K$16/($D$14*$K$15))/(($D$14*$K$15^2)*(1-1.05*($K$17^1.26))))*'F(T,E)'!G83</f>
        <v>18.083598061791999</v>
      </c>
      <c r="G103" s="17">
        <f>1/$G$29-LN($G$29)+($L$16*EXP($L$16/($D$14*$L$15))/(($D$14*$L$15^2)*(1-1.05*($L$17^1.26))))*'F(T,E)'!H83</f>
        <v>-2.375992690451616</v>
      </c>
      <c r="H103" s="17">
        <f>1/$H$29-LN($H$29)+($M$16*EXP($M$16/($D$14*$M$15))/(($D$14*$M$15^2)*(1-1.05*($M$17^1.26))))*'F(T,E)'!I83</f>
        <v>-11.487160485730271</v>
      </c>
      <c r="I103" s="17">
        <f>1/$I$29-LN($I$29)+($N$16*EXP($N$16/($D$14*$N$15))/(($D$14*$N$15^2)*(1-1.05*($N$17^1.26))))*'F(T,E)'!J83</f>
        <v>-3.9908388156966232</v>
      </c>
      <c r="J103" s="17">
        <f>1/$J$29-LN($J$29)+($O$16*EXP($O$16/($D$14*$O$15))/(($D$14*$O$15^2)*(1-1.05*($O$17^1.26))))*'F(T,E)'!K83</f>
        <v>-1.6533470962076833</v>
      </c>
      <c r="K103" s="17">
        <f>1/$K$29-LN($K$29)+($P$16*EXP($P$16/($D$14*$P$15))/(($D$14*$P$15^2)*(1-1.05*($P$17^1.26))))*'F(T,E)'!L83</f>
        <v>0.3024440594013762</v>
      </c>
      <c r="L103" s="17">
        <f>1/$L$29-LN($L$29)+($Q$16*EXP($Q$16/($D$14*$Q$15))/(($D$14*$Q$15^2)*(1-1.05*($Q$17^1.26))))*'F(T,E)'!M83</f>
        <v>-1.182777721786725</v>
      </c>
      <c r="M103" s="17">
        <f>1/$M$29-LN($M$29)+($R$16*EXP($R$16/($D$14*$R$15))/(($D$14*$R$15^2)*(1-1.05*($R$17^1.26))))*'F(T,E)'!N83</f>
        <v>143.26207051166378</v>
      </c>
      <c r="N103" s="17">
        <f>1/$N$29-LN($N$29)+($S$16*EXP($S$16/($D$14*$S$15))/(($D$14*$S$15^2)*(1-1.05*($S$17^1.26))))*'F(T,E)'!O83</f>
        <v>-11.512905295447448</v>
      </c>
      <c r="O103" s="25"/>
      <c r="P103" s="20">
        <f t="shared" si="30"/>
        <v>1477.1087031341078</v>
      </c>
      <c r="Q103" s="20">
        <f t="shared" si="31"/>
        <v>15.35233075835057</v>
      </c>
      <c r="R103" s="20">
        <f t="shared" si="32"/>
        <v>8.5322648889103556E-2</v>
      </c>
      <c r="S103" s="20">
        <f t="shared" si="33"/>
        <v>1.0260892367410609E-5</v>
      </c>
      <c r="T103" s="20">
        <f t="shared" si="34"/>
        <v>1.815170968152888E-2</v>
      </c>
      <c r="U103" s="20">
        <f t="shared" si="35"/>
        <v>0.16267203906931801</v>
      </c>
      <c r="V103" s="20">
        <f t="shared" si="36"/>
        <v>0.68328592921134546</v>
      </c>
      <c r="W103" s="20">
        <f t="shared" si="37"/>
        <v>0.24084092090118264</v>
      </c>
      <c r="X103" s="20">
        <f t="shared" si="38"/>
        <v>138.33241094796944</v>
      </c>
      <c r="Y103" s="20">
        <f t="shared" si="39"/>
        <v>1.0000101694727947E-5</v>
      </c>
      <c r="Z103" s="25"/>
      <c r="AA103" s="20">
        <f t="shared" si="41"/>
        <v>0.62481492401561478</v>
      </c>
      <c r="AB103" s="20">
        <f t="shared" si="42"/>
        <v>116.14868651236465</v>
      </c>
      <c r="AC103" s="20">
        <f t="shared" si="43"/>
        <v>60783.927630423976</v>
      </c>
      <c r="AD103" s="20">
        <f t="shared" si="44"/>
        <v>5755.0536834144832</v>
      </c>
      <c r="AE103" s="20">
        <f t="shared" si="45"/>
        <v>250.99902199958629</v>
      </c>
      <c r="AF103" s="20">
        <f t="shared" si="46"/>
        <v>0.9213389057197523</v>
      </c>
      <c r="AG103" s="20">
        <f t="shared" si="47"/>
        <v>9.8514894648628806E-3</v>
      </c>
      <c r="AH103" s="20">
        <f t="shared" si="48"/>
        <v>5.4655446145559655E-5</v>
      </c>
      <c r="AI103" s="20">
        <f t="shared" si="49"/>
        <v>0</v>
      </c>
      <c r="AJ103" s="20">
        <v>50</v>
      </c>
      <c r="AK103" s="25"/>
      <c r="AL103" s="20">
        <f t="shared" si="50"/>
        <v>66957.685082325057</v>
      </c>
      <c r="AM103" s="25"/>
      <c r="AN103" s="20">
        <f t="shared" si="51"/>
        <v>909515.23624935071</v>
      </c>
      <c r="AO103" s="20">
        <f t="shared" si="52"/>
        <v>953.68508232505701</v>
      </c>
      <c r="AQ103" s="20">
        <f t="shared" si="53"/>
        <v>1.2440294137695509E-4</v>
      </c>
      <c r="AR103" s="20">
        <v>426</v>
      </c>
      <c r="AS103" s="20">
        <f t="shared" si="54"/>
        <v>-0.14448898283816997</v>
      </c>
    </row>
    <row r="104" spans="2:45" x14ac:dyDescent="0.3">
      <c r="B104" s="32">
        <v>154</v>
      </c>
      <c r="C104" s="32">
        <v>69352</v>
      </c>
      <c r="D104" s="7">
        <f t="shared" si="40"/>
        <v>427</v>
      </c>
      <c r="E104" s="17">
        <f>1/$E$29-LN($E$29)+($J$16*EXP($J$16/($D$14*$J$15))/(($D$14*$J$15^2)*(1-1.05*($J$17^1.26))))*'F(T,E)'!F84</f>
        <v>1586.7338521139393</v>
      </c>
      <c r="F104" s="17">
        <f>1/$F$29-LN($F$29)+($K$16*EXP($K$16/($D$14*$K$15))/(($D$14*$K$15^2)*(1-1.05*($K$17^1.26))))*'F(T,E)'!G84</f>
        <v>20.105858282983917</v>
      </c>
      <c r="G104" s="17">
        <f>1/$G$29-LN($G$29)+($L$16*EXP($L$16/($D$14*$L$15))/(($D$14*$L$15^2)*(1-1.05*($L$17^1.26))))*'F(T,E)'!H84</f>
        <v>-2.312111120316688</v>
      </c>
      <c r="H104" s="17">
        <f>1/$H$29-LN($H$29)+($M$16*EXP($M$16/($D$14*$M$15))/(($D$14*$M$15^2)*(1-1.05*($M$17^1.26))))*'F(T,E)'!I84</f>
        <v>-11.484189664446433</v>
      </c>
      <c r="I104" s="17">
        <f>1/$I$29-LN($I$29)+($N$16*EXP($N$16/($D$14*$N$15))/(($D$14*$N$15^2)*(1-1.05*($N$17^1.26))))*'F(T,E)'!J84</f>
        <v>-3.9907815967889291</v>
      </c>
      <c r="J104" s="17">
        <f>1/$J$29-LN($J$29)+($O$16*EXP($O$16/($D$14*$O$15))/(($D$14*$O$15^2)*(1-1.05*($O$17^1.26))))*'F(T,E)'!K84</f>
        <v>-1.6533357092123644</v>
      </c>
      <c r="K104" s="17">
        <f>1/$K$29-LN($K$29)+($P$16*EXP($P$16/($D$14*$P$15))/(($D$14*$P$15^2)*(1-1.05*($P$17^1.26))))*'F(T,E)'!L84</f>
        <v>0.30244415558395144</v>
      </c>
      <c r="L104" s="17">
        <f>1/$L$29-LN($L$29)+($Q$16*EXP($Q$16/($D$14*$Q$15))/(($D$14*$Q$15^2)*(1-1.05*($Q$17^1.26))))*'F(T,E)'!M84</f>
        <v>-1.182777720978363</v>
      </c>
      <c r="M104" s="17">
        <f>1/$M$29-LN($M$29)+($R$16*EXP($R$16/($D$14*$R$15))/(($D$14*$R$15^2)*(1-1.05*($R$17^1.26))))*'F(T,E)'!N84</f>
        <v>146.87388892194863</v>
      </c>
      <c r="N104" s="17">
        <f>1/$N$29-LN($N$29)+($S$16*EXP($S$16/($D$14*$S$15))/(($D$14*$S$15^2)*(1-1.05*($S$17^1.26))))*'F(T,E)'!O84</f>
        <v>-11.512905275738419</v>
      </c>
      <c r="O104" s="25"/>
      <c r="P104" s="20">
        <f t="shared" si="30"/>
        <v>1579.366741314494</v>
      </c>
      <c r="Q104" s="20">
        <f t="shared" si="31"/>
        <v>17.257605346989305</v>
      </c>
      <c r="R104" s="20">
        <f t="shared" si="32"/>
        <v>9.0482931206031389E-2</v>
      </c>
      <c r="S104" s="20">
        <f t="shared" si="33"/>
        <v>1.0291420655725232E-5</v>
      </c>
      <c r="T104" s="20">
        <f t="shared" si="34"/>
        <v>1.8152729814045195E-2</v>
      </c>
      <c r="U104" s="20">
        <f t="shared" si="35"/>
        <v>0.16267363225594919</v>
      </c>
      <c r="V104" s="20">
        <f t="shared" si="36"/>
        <v>0.68328596825414878</v>
      </c>
      <c r="W104" s="20">
        <f t="shared" si="37"/>
        <v>0.24084092105808164</v>
      </c>
      <c r="X104" s="20">
        <f t="shared" si="38"/>
        <v>141.9186350213777</v>
      </c>
      <c r="Y104" s="20">
        <f t="shared" si="39"/>
        <v>1.0000101891818273E-5</v>
      </c>
      <c r="Z104" s="25"/>
      <c r="AA104" s="20">
        <f t="shared" si="41"/>
        <v>0.58151500052786664</v>
      </c>
      <c r="AB104" s="20">
        <f t="shared" si="42"/>
        <v>100.27220633670605</v>
      </c>
      <c r="AC104" s="20">
        <f t="shared" si="43"/>
        <v>62223.885148427369</v>
      </c>
      <c r="AD104" s="20">
        <f t="shared" si="44"/>
        <v>6370.8705027668502</v>
      </c>
      <c r="AE104" s="20">
        <f t="shared" si="45"/>
        <v>288.80370559766743</v>
      </c>
      <c r="AF104" s="20">
        <f t="shared" si="46"/>
        <v>1.0291557906721354</v>
      </c>
      <c r="AG104" s="20">
        <f t="shared" si="47"/>
        <v>1.1393117255711963E-2</v>
      </c>
      <c r="AH104" s="20">
        <f t="shared" si="48"/>
        <v>6.3612850387082638E-5</v>
      </c>
      <c r="AI104" s="20">
        <f t="shared" si="49"/>
        <v>0</v>
      </c>
      <c r="AJ104" s="20">
        <v>50</v>
      </c>
      <c r="AK104" s="25"/>
      <c r="AL104" s="20">
        <f t="shared" si="50"/>
        <v>69035.453690649898</v>
      </c>
      <c r="AM104" s="25"/>
      <c r="AN104" s="20">
        <f t="shared" si="51"/>
        <v>100201.56596317053</v>
      </c>
      <c r="AO104" s="20">
        <f t="shared" si="52"/>
        <v>316.54630935010209</v>
      </c>
      <c r="AQ104" s="20">
        <f t="shared" si="53"/>
        <v>4.129171431429613E-5</v>
      </c>
      <c r="AR104" s="20">
        <v>427</v>
      </c>
      <c r="AS104" s="20">
        <f t="shared" si="54"/>
        <v>4.564342907920494E-2</v>
      </c>
    </row>
    <row r="105" spans="2:45" x14ac:dyDescent="0.3">
      <c r="B105" s="32">
        <v>156</v>
      </c>
      <c r="C105" s="32">
        <v>71547</v>
      </c>
      <c r="D105" s="7">
        <f t="shared" si="40"/>
        <v>429</v>
      </c>
      <c r="E105" s="17">
        <f>1/$E$29-LN($E$29)+($J$16*EXP($J$16/($D$14*$J$15))/(($D$14*$J$15^2)*(1-1.05*($J$17^1.26))))*'F(T,E)'!F85</f>
        <v>1811.3439565565327</v>
      </c>
      <c r="F105" s="17">
        <f>1/$F$29-LN($F$29)+($K$16*EXP($K$16/($D$14*$K$15))/(($D$14*$K$15^2)*(1-1.05*($K$17^1.26))))*'F(T,E)'!G85</f>
        <v>24.66880459023686</v>
      </c>
      <c r="G105" s="17">
        <f>1/$G$29-LN($G$29)+($L$16*EXP($L$16/($D$14*$L$15))/(($D$14*$L$15^2)*(1-1.05*($L$17^1.26))))*'F(T,E)'!H85</f>
        <v>-2.1665083137188921</v>
      </c>
      <c r="H105" s="17">
        <f>1/$H$29-LN($H$29)+($M$16*EXP($M$16/($D$14*$M$15))/(($D$14*$M$15^2)*(1-1.05*($M$17^1.26))))*'F(T,E)'!I85</f>
        <v>-11.477233429806278</v>
      </c>
      <c r="I105" s="17">
        <f>1/$I$29-LN($I$29)+($N$16*EXP($N$16/($D$14*$N$15))/(($D$14*$N$15^2)*(1-1.05*($N$17^1.26))))*'F(T,E)'!J85</f>
        <v>-3.9906401182861098</v>
      </c>
      <c r="J105" s="17">
        <f>1/$J$29-LN($J$29)+($O$16*EXP($O$16/($D$14*$O$15))/(($D$14*$O$15^2)*(1-1.05*($O$17^1.26))))*'F(T,E)'!K85</f>
        <v>-1.6533087999225855</v>
      </c>
      <c r="K105" s="17">
        <f>1/$K$29-LN($K$29)+($P$16*EXP($P$16/($D$14*$P$15))/(($D$14*$P$15^2)*(1-1.05*($P$17^1.26))))*'F(T,E)'!L85</f>
        <v>0.30244439524035877</v>
      </c>
      <c r="L105" s="17">
        <f>1/$L$29-LN($L$29)+($Q$16*EXP($Q$16/($D$14*$Q$15))/(($D$14*$Q$15^2)*(1-1.05*($Q$17^1.26))))*'F(T,E)'!M85</f>
        <v>-1.182777718944416</v>
      </c>
      <c r="M105" s="17">
        <f>1/$M$29-LN($M$29)+($R$16*EXP($R$16/($D$14*$R$15))/(($D$14*$R$15^2)*(1-1.05*($R$17^1.26))))*'F(T,E)'!N85</f>
        <v>154.30221805466468</v>
      </c>
      <c r="N105" s="17">
        <f>1/$N$29-LN($N$29)+($S$16*EXP($S$16/($D$14*$S$15))/(($D$14*$S$15^2)*(1-1.05*($S$17^1.26))))*'F(T,E)'!O85</f>
        <v>-11.512905229528348</v>
      </c>
      <c r="O105" s="25"/>
      <c r="P105" s="20">
        <f t="shared" si="30"/>
        <v>1803.8442029799435</v>
      </c>
      <c r="Q105" s="20">
        <f t="shared" si="31"/>
        <v>21.596283357150519</v>
      </c>
      <c r="R105" s="20">
        <f t="shared" si="32"/>
        <v>0.10332898996194051</v>
      </c>
      <c r="S105" s="20">
        <f t="shared" si="33"/>
        <v>1.0363259023280991E-5</v>
      </c>
      <c r="T105" s="20">
        <f t="shared" si="34"/>
        <v>1.8155252418191187E-2</v>
      </c>
      <c r="U105" s="20">
        <f t="shared" si="35"/>
        <v>0.1626773972639079</v>
      </c>
      <c r="V105" s="20">
        <f t="shared" si="36"/>
        <v>0.68328606553641125</v>
      </c>
      <c r="W105" s="20">
        <f t="shared" si="37"/>
        <v>0.24084092145286043</v>
      </c>
      <c r="X105" s="20">
        <f t="shared" si="38"/>
        <v>149.29628523166375</v>
      </c>
      <c r="Y105" s="20">
        <f t="shared" si="39"/>
        <v>1.0000102353919075E-5</v>
      </c>
      <c r="Z105" s="25"/>
      <c r="AA105" s="20">
        <f t="shared" si="41"/>
        <v>0.50425418962692659</v>
      </c>
      <c r="AB105" s="20">
        <f t="shared" si="42"/>
        <v>75.923275216226088</v>
      </c>
      <c r="AC105" s="20">
        <f t="shared" si="43"/>
        <v>63995.457263569049</v>
      </c>
      <c r="AD105" s="20">
        <f t="shared" si="44"/>
        <v>7787.9189578858695</v>
      </c>
      <c r="AE105" s="20">
        <f t="shared" si="45"/>
        <v>381.59261391896729</v>
      </c>
      <c r="AF105" s="20">
        <f t="shared" si="46"/>
        <v>1.2821254599418208</v>
      </c>
      <c r="AG105" s="20">
        <f t="shared" si="47"/>
        <v>1.5206903948100281E-2</v>
      </c>
      <c r="AH105" s="20">
        <f t="shared" si="48"/>
        <v>8.5989582925098511E-5</v>
      </c>
      <c r="AI105" s="20">
        <f t="shared" si="49"/>
        <v>0</v>
      </c>
      <c r="AJ105" s="20">
        <v>50</v>
      </c>
      <c r="AK105" s="25"/>
      <c r="AL105" s="20">
        <f t="shared" si="50"/>
        <v>72292.693783133203</v>
      </c>
      <c r="AM105" s="25"/>
      <c r="AN105" s="20">
        <f t="shared" si="51"/>
        <v>556059.21820350899</v>
      </c>
      <c r="AO105" s="20">
        <f t="shared" si="52"/>
        <v>745.6937831332034</v>
      </c>
      <c r="AQ105" s="20">
        <f t="shared" si="53"/>
        <v>9.72716274035845E-5</v>
      </c>
      <c r="AR105" s="20">
        <v>429</v>
      </c>
      <c r="AS105" s="20">
        <f t="shared" si="54"/>
        <v>-0.1042243257066269</v>
      </c>
    </row>
    <row r="106" spans="2:45" x14ac:dyDescent="0.3">
      <c r="B106" s="32">
        <v>157</v>
      </c>
      <c r="C106" s="32">
        <v>72845</v>
      </c>
      <c r="D106" s="7">
        <f t="shared" si="40"/>
        <v>430</v>
      </c>
      <c r="E106" s="17">
        <f>1/$E$29-LN($E$29)+($J$16*EXP($J$16/($D$14*$J$15))/(($D$14*$J$15^2)*(1-1.05*($J$17^1.26))))*'F(T,E)'!F86</f>
        <v>1934.4151600636792</v>
      </c>
      <c r="F106" s="17">
        <f>1/$F$29-LN($F$29)+($K$16*EXP($K$16/($D$14*$K$15))/(($D$14*$K$15^2)*(1-1.05*($K$17^1.26))))*'F(T,E)'!G86</f>
        <v>27.236728456921117</v>
      </c>
      <c r="G106" s="17">
        <f>1/$G$29-LN($G$29)+($L$16*EXP($L$16/($D$14*$L$15))/(($D$14*$L$15^2)*(1-1.05*($L$17^1.26))))*'F(T,E)'!H86</f>
        <v>-2.083762435645363</v>
      </c>
      <c r="H106" s="17">
        <f>1/$H$29-LN($H$29)+($M$16*EXP($M$16/($D$14*$M$15))/(($D$14*$M$15^2)*(1-1.05*($M$17^1.26))))*'F(T,E)'!I86</f>
        <v>-11.473176297410033</v>
      </c>
      <c r="I106" s="17">
        <f>1/$I$29-LN($I$29)+($N$16*EXP($N$16/($D$14*$N$15))/(($D$14*$N$15^2)*(1-1.05*($N$17^1.26))))*'F(T,E)'!J86</f>
        <v>-3.9905532004615054</v>
      </c>
      <c r="J106" s="17">
        <f>1/$J$29-LN($J$29)+($O$16*EXP($O$16/($D$14*$O$15))/(($D$14*$O$15^2)*(1-1.05*($O$17^1.26))))*'F(T,E)'!K86</f>
        <v>-1.6532929663497753</v>
      </c>
      <c r="K106" s="17">
        <f>1/$K$29-LN($K$29)+($P$16*EXP($P$16/($D$14*$P$15))/(($D$14*$P$15^2)*(1-1.05*($P$17^1.26))))*'F(T,E)'!L86</f>
        <v>0.3024445435520105</v>
      </c>
      <c r="L106" s="17">
        <f>1/$L$29-LN($L$29)+($Q$16*EXP($Q$16/($D$14*$Q$15))/(($D$14*$Q$15^2)*(1-1.05*($Q$17^1.26))))*'F(T,E)'!M86</f>
        <v>-1.1827777176740211</v>
      </c>
      <c r="M106" s="17">
        <f>1/$M$29-LN($M$29)+($R$16*EXP($R$16/($D$14*$R$15))/(($D$14*$R$15^2)*(1-1.05*($R$17^1.26))))*'F(T,E)'!N86</f>
        <v>158.12061247398452</v>
      </c>
      <c r="N106" s="17">
        <f>1/$N$29-LN($N$29)+($S$16*EXP($S$16/($D$14*$S$15))/(($D$14*$S$15^2)*(1-1.05*($S$17^1.26))))*'F(T,E)'!O86</f>
        <v>-11.51290520254274</v>
      </c>
      <c r="O106" s="25"/>
      <c r="P106" s="20">
        <f t="shared" si="30"/>
        <v>1926.8495557799004</v>
      </c>
      <c r="Q106" s="20">
        <f t="shared" si="31"/>
        <v>24.056330281630501</v>
      </c>
      <c r="R106" s="20">
        <f t="shared" si="32"/>
        <v>0.11134643813708413</v>
      </c>
      <c r="S106" s="20">
        <f t="shared" si="33"/>
        <v>1.0405389105575107E-5</v>
      </c>
      <c r="T106" s="20">
        <f t="shared" si="34"/>
        <v>1.8156802359811836E-2</v>
      </c>
      <c r="U106" s="20">
        <f t="shared" si="35"/>
        <v>0.16267961265014053</v>
      </c>
      <c r="V106" s="20">
        <f t="shared" si="36"/>
        <v>0.68328612573965863</v>
      </c>
      <c r="W106" s="20">
        <f t="shared" si="37"/>
        <v>0.24084092169943763</v>
      </c>
      <c r="X106" s="20">
        <f t="shared" si="38"/>
        <v>153.08958917380411</v>
      </c>
      <c r="Y106" s="20">
        <f t="shared" si="39"/>
        <v>1.0000102623775228E-5</v>
      </c>
      <c r="Z106" s="25"/>
      <c r="AA106" s="20">
        <f t="shared" si="41"/>
        <v>0.46981184840250539</v>
      </c>
      <c r="AB106" s="20">
        <f t="shared" si="42"/>
        <v>66.526671712448916</v>
      </c>
      <c r="AC106" s="20">
        <f t="shared" si="43"/>
        <v>64232.677245847866</v>
      </c>
      <c r="AD106" s="20">
        <f t="shared" si="44"/>
        <v>8599.3669195174716</v>
      </c>
      <c r="AE106" s="20">
        <f t="shared" si="45"/>
        <v>438.19683629794514</v>
      </c>
      <c r="AF106" s="20">
        <f t="shared" si="46"/>
        <v>1.4299511770209601</v>
      </c>
      <c r="AG106" s="20">
        <f t="shared" si="47"/>
        <v>1.7551024575093457E-2</v>
      </c>
      <c r="AH106" s="20">
        <f t="shared" si="48"/>
        <v>9.9871070326844344E-5</v>
      </c>
      <c r="AI106" s="20">
        <f t="shared" si="49"/>
        <v>0</v>
      </c>
      <c r="AJ106" s="20">
        <v>50</v>
      </c>
      <c r="AK106" s="25"/>
      <c r="AL106" s="20">
        <f t="shared" si="50"/>
        <v>73388.685087296792</v>
      </c>
      <c r="AM106" s="25"/>
      <c r="AN106" s="20">
        <f t="shared" si="51"/>
        <v>295593.47414891992</v>
      </c>
      <c r="AO106" s="20">
        <f t="shared" si="52"/>
        <v>543.68508729679161</v>
      </c>
      <c r="AQ106" s="20">
        <f t="shared" si="53"/>
        <v>7.0920710930711821E-5</v>
      </c>
      <c r="AR106" s="20">
        <v>430</v>
      </c>
      <c r="AS106" s="20">
        <f t="shared" si="54"/>
        <v>-7.4635882668239631E-2</v>
      </c>
    </row>
    <row r="107" spans="2:45" x14ac:dyDescent="0.3">
      <c r="B107" s="32">
        <v>158</v>
      </c>
      <c r="C107" s="32">
        <v>74390</v>
      </c>
      <c r="D107" s="7">
        <f t="shared" si="40"/>
        <v>431</v>
      </c>
      <c r="E107" s="17">
        <f>1/$E$29-LN($E$29)+($J$16*EXP($J$16/($D$14*$J$15))/(($D$14*$J$15^2)*(1-1.05*($J$17^1.26))))*'F(T,E)'!F87</f>
        <v>2065.2227727335066</v>
      </c>
      <c r="F107" s="17">
        <f>1/$F$29-LN($F$29)+($K$16*EXP($K$16/($D$14*$K$15))/(($D$14*$K$15^2)*(1-1.05*($K$17^1.26))))*'F(T,E)'!G87</f>
        <v>30.01543315526629</v>
      </c>
      <c r="G107" s="17">
        <f>1/$G$29-LN($G$29)+($L$16*EXP($L$16/($D$14*$L$15))/(($D$14*$L$15^2)*(1-1.05*($L$17^1.26))))*'F(T,E)'!H87</f>
        <v>-1.9936353854153226</v>
      </c>
      <c r="H107" s="17">
        <f>1/$H$29-LN($H$29)+($M$16*EXP($M$16/($D$14*$M$15))/(($D$14*$M$15^2)*(1-1.05*($M$17^1.26))))*'F(T,E)'!I87</f>
        <v>-11.468679387816154</v>
      </c>
      <c r="I107" s="17">
        <f>1/$I$29-LN($I$29)+($N$16*EXP($N$16/($D$14*$N$15))/(($D$14*$N$15^2)*(1-1.05*($N$17^1.26))))*'F(T,E)'!J87</f>
        <v>-3.990453414467404</v>
      </c>
      <c r="J107" s="17">
        <f>1/$J$29-LN($J$29)+($O$16*EXP($O$16/($D$14*$O$15))/(($D$14*$O$15^2)*(1-1.05*($O$17^1.26))))*'F(T,E)'!K87</f>
        <v>-1.6532753117160175</v>
      </c>
      <c r="K107" s="17">
        <f>1/$K$29-LN($K$29)+($P$16*EXP($P$16/($D$14*$P$15))/(($D$14*$P$15^2)*(1-1.05*($P$17^1.26))))*'F(T,E)'!L87</f>
        <v>0.30244471466607947</v>
      </c>
      <c r="L107" s="17">
        <f>1/$L$29-LN($L$29)+($Q$16*EXP($Q$16/($D$14*$Q$15))/(($D$14*$Q$15^2)*(1-1.05*($Q$17^1.26))))*'F(T,E)'!M87</f>
        <v>-1.1827777161990791</v>
      </c>
      <c r="M107" s="17">
        <f>1/$M$29-LN($M$29)+($R$16*EXP($R$16/($D$14*$R$15))/(($D$14*$R$15^2)*(1-1.05*($R$17^1.26))))*'F(T,E)'!N87</f>
        <v>162.00976150925146</v>
      </c>
      <c r="N107" s="17">
        <f>1/$N$29-LN($N$29)+($S$16*EXP($S$16/($D$14*$S$15))/(($D$14*$S$15^2)*(1-1.05*($S$17^1.26))))*'F(T,E)'!O87</f>
        <v>-11.512905172606413</v>
      </c>
      <c r="O107" s="25"/>
      <c r="P107" s="20">
        <f t="shared" si="30"/>
        <v>2057.5916273367275</v>
      </c>
      <c r="Q107" s="20">
        <f t="shared" si="31"/>
        <v>26.72965936860825</v>
      </c>
      <c r="R107" s="20">
        <f t="shared" si="32"/>
        <v>0.12071203773682687</v>
      </c>
      <c r="S107" s="20">
        <f t="shared" si="33"/>
        <v>1.0452286077283808E-5</v>
      </c>
      <c r="T107" s="20">
        <f t="shared" si="34"/>
        <v>1.8158581930279003E-2</v>
      </c>
      <c r="U107" s="20">
        <f t="shared" si="35"/>
        <v>0.16268208286438032</v>
      </c>
      <c r="V107" s="20">
        <f t="shared" si="36"/>
        <v>0.68328619519895673</v>
      </c>
      <c r="W107" s="20">
        <f t="shared" si="37"/>
        <v>0.24084092198571636</v>
      </c>
      <c r="X107" s="20">
        <f t="shared" si="38"/>
        <v>156.9538099513214</v>
      </c>
      <c r="Y107" s="20">
        <f t="shared" si="39"/>
        <v>1.0000102923138581E-5</v>
      </c>
      <c r="Z107" s="25"/>
      <c r="AA107" s="20">
        <f t="shared" si="41"/>
        <v>0.43787378606019889</v>
      </c>
      <c r="AB107" s="20">
        <f t="shared" si="42"/>
        <v>58.53248349677267</v>
      </c>
      <c r="AC107" s="20">
        <f t="shared" si="43"/>
        <v>63983.796322669485</v>
      </c>
      <c r="AD107" s="20">
        <f t="shared" si="44"/>
        <v>9486.6444100507579</v>
      </c>
      <c r="AE107" s="20">
        <f t="shared" si="45"/>
        <v>502.8680111738451</v>
      </c>
      <c r="AF107" s="20">
        <f t="shared" si="46"/>
        <v>1.5940104996512363</v>
      </c>
      <c r="AG107" s="20">
        <f t="shared" si="47"/>
        <v>2.0243016078415298E-2</v>
      </c>
      <c r="AH107" s="20">
        <f t="shared" si="48"/>
        <v>1.1591295306689417E-4</v>
      </c>
      <c r="AI107" s="20">
        <f t="shared" si="49"/>
        <v>0</v>
      </c>
      <c r="AJ107" s="20">
        <v>50</v>
      </c>
      <c r="AK107" s="25"/>
      <c r="AL107" s="20">
        <f t="shared" si="50"/>
        <v>74083.893470605588</v>
      </c>
      <c r="AM107" s="25"/>
      <c r="AN107" s="20">
        <f t="shared" si="51"/>
        <v>93701.207337892061</v>
      </c>
      <c r="AO107" s="20">
        <f t="shared" si="52"/>
        <v>306.10652939441206</v>
      </c>
      <c r="AQ107" s="20">
        <f t="shared" si="53"/>
        <v>3.9929902791933079E-5</v>
      </c>
      <c r="AR107" s="20">
        <v>431</v>
      </c>
      <c r="AS107" s="20">
        <f t="shared" si="54"/>
        <v>4.1148881488696346E-2</v>
      </c>
    </row>
    <row r="108" spans="2:45" x14ac:dyDescent="0.3">
      <c r="B108" s="32">
        <v>160</v>
      </c>
      <c r="C108" s="32">
        <v>74310</v>
      </c>
      <c r="D108" s="7">
        <f t="shared" si="40"/>
        <v>433</v>
      </c>
      <c r="E108" s="17">
        <f>1/$E$29-LN($E$29)+($J$16*EXP($J$16/($D$14*$J$15))/(($D$14*$J$15^2)*(1-1.05*($J$17^1.26))))*'F(T,E)'!F88</f>
        <v>2351.858712511053</v>
      </c>
      <c r="F108" s="17">
        <f>1/$F$29-LN($F$29)+($K$16*EXP($K$16/($D$14*$K$15))/(($D$14*$K$15^2)*(1-1.05*($K$17^1.26))))*'F(T,E)'!G88</f>
        <v>36.271150683767836</v>
      </c>
      <c r="G108" s="17">
        <f>1/$G$29-LN($G$29)+($L$16*EXP($L$16/($D$14*$L$15))/(($D$14*$L$15^2)*(1-1.05*($L$17^1.26))))*'F(T,E)'!H88</f>
        <v>-1.7887109403950117</v>
      </c>
      <c r="H108" s="17">
        <f>1/$H$29-LN($H$29)+($M$16*EXP($M$16/($D$14*$M$15))/(($D$14*$M$15^2)*(1-1.05*($M$17^1.26))))*'F(T,E)'!I88</f>
        <v>-11.458180649805438</v>
      </c>
      <c r="I108" s="17">
        <f>1/$I$29-LN($I$29)+($N$16*EXP($N$16/($D$14*$N$15))/(($D$14*$N$15^2)*(1-1.05*($N$17^1.26))))*'F(T,E)'!J88</f>
        <v>-3.9902076603492223</v>
      </c>
      <c r="J108" s="17">
        <f>1/$J$29-LN($J$29)+($O$16*EXP($O$16/($D$14*$O$15))/(($D$14*$O$15^2)*(1-1.05*($O$17^1.26))))*'F(T,E)'!K88</f>
        <v>-1.6532337204564698</v>
      </c>
      <c r="K108" s="17">
        <f>1/$K$29-LN($K$29)+($P$16*EXP($P$16/($D$14*$P$15))/(($D$14*$P$15^2)*(1-1.05*($P$17^1.26))))*'F(T,E)'!L88</f>
        <v>0.30244513928137051</v>
      </c>
      <c r="L108" s="17">
        <f>1/$L$29-LN($L$29)+($Q$16*EXP($Q$16/($D$14*$Q$15))/(($D$14*$Q$15^2)*(1-1.05*($Q$17^1.26))))*'F(T,E)'!M88</f>
        <v>-1.1827777125038124</v>
      </c>
      <c r="M108" s="17">
        <f>1/$M$29-LN($M$29)+($R$16*EXP($R$16/($D$14*$R$15))/(($D$14*$R$15^2)*(1-1.05*($R$17^1.26))))*'F(T,E)'!N88</f>
        <v>170.0041715616486</v>
      </c>
      <c r="N108" s="17">
        <f>1/$N$29-LN($N$29)+($S$16*EXP($S$16/($D$14*$S$15))/(($D$14*$S$15^2)*(1-1.05*($S$17^1.26))))*'F(T,E)'!O88</f>
        <v>-11.512905102624732</v>
      </c>
      <c r="O108" s="25"/>
      <c r="P108" s="20">
        <f t="shared" si="30"/>
        <v>2344.0974016635691</v>
      </c>
      <c r="Q108" s="20">
        <f t="shared" si="31"/>
        <v>32.781292676320582</v>
      </c>
      <c r="R108" s="20">
        <f t="shared" si="32"/>
        <v>0.14465976963379137</v>
      </c>
      <c r="S108" s="20">
        <f t="shared" si="33"/>
        <v>1.056259879022269E-5</v>
      </c>
      <c r="T108" s="20">
        <f t="shared" si="34"/>
        <v>1.8162965407832524E-2</v>
      </c>
      <c r="U108" s="20">
        <f t="shared" si="35"/>
        <v>0.16268790238883896</v>
      </c>
      <c r="V108" s="20">
        <f t="shared" si="36"/>
        <v>0.68328636756048933</v>
      </c>
      <c r="W108" s="20">
        <f t="shared" si="37"/>
        <v>0.24084092270294888</v>
      </c>
      <c r="X108" s="20">
        <f t="shared" si="38"/>
        <v>164.89883937049174</v>
      </c>
      <c r="Y108" s="20">
        <f t="shared" si="39"/>
        <v>1.000010362295562E-5</v>
      </c>
      <c r="Z108" s="25"/>
      <c r="AA108" s="20">
        <f t="shared" si="41"/>
        <v>0.38075213832642291</v>
      </c>
      <c r="AB108" s="20">
        <f t="shared" si="42"/>
        <v>45.808209511914633</v>
      </c>
      <c r="AC108" s="20">
        <f t="shared" si="43"/>
        <v>61921.703047912248</v>
      </c>
      <c r="AD108" s="20">
        <f t="shared" si="44"/>
        <v>11511.537349123637</v>
      </c>
      <c r="AE108" s="20">
        <f t="shared" si="45"/>
        <v>660.95893382986424</v>
      </c>
      <c r="AF108" s="20">
        <f t="shared" si="46"/>
        <v>1.9777651033388692</v>
      </c>
      <c r="AG108" s="20">
        <f t="shared" si="47"/>
        <v>2.687583313659422E-2</v>
      </c>
      <c r="AH108" s="20">
        <f t="shared" si="48"/>
        <v>1.5581887822695433E-4</v>
      </c>
      <c r="AI108" s="20">
        <f t="shared" si="49"/>
        <v>0</v>
      </c>
      <c r="AJ108" s="20">
        <v>50</v>
      </c>
      <c r="AK108" s="25"/>
      <c r="AL108" s="20">
        <f t="shared" si="50"/>
        <v>74192.39308927134</v>
      </c>
      <c r="AM108" s="25"/>
      <c r="AN108" s="20">
        <f t="shared" si="51"/>
        <v>13831.385451139073</v>
      </c>
      <c r="AO108" s="20">
        <f t="shared" si="52"/>
        <v>117.6069107286603</v>
      </c>
      <c r="AQ108" s="20">
        <f t="shared" si="53"/>
        <v>1.5341170677885847E-5</v>
      </c>
      <c r="AR108" s="20">
        <v>433</v>
      </c>
      <c r="AS108" s="20">
        <f t="shared" si="54"/>
        <v>1.5826525464763867E-2</v>
      </c>
    </row>
    <row r="109" spans="2:45" x14ac:dyDescent="0.3">
      <c r="B109" s="32">
        <v>162</v>
      </c>
      <c r="C109" s="32">
        <v>73095</v>
      </c>
      <c r="D109" s="7">
        <f t="shared" si="40"/>
        <v>435</v>
      </c>
      <c r="E109" s="17">
        <f>1/$E$29-LN($E$29)+($J$16*EXP($J$16/($D$14*$J$15))/(($D$14*$J$15^2)*(1-1.05*($J$17^1.26))))*'F(T,E)'!F89</f>
        <v>2675.1162334344758</v>
      </c>
      <c r="F109" s="17">
        <f>1/$F$29-LN($F$29)+($K$16*EXP($K$16/($D$14*$K$15))/(($D$14*$K$15^2)*(1-1.05*($K$17^1.26))))*'F(T,E)'!G89</f>
        <v>43.579941232025249</v>
      </c>
      <c r="G109" s="17">
        <f>1/$G$29-LN($G$29)+($L$16*EXP($L$16/($D$14*$L$15))/(($D$14*$L$15^2)*(1-1.05*($L$17^1.26))))*'F(T,E)'!H89</f>
        <v>-1.5461730337993893</v>
      </c>
      <c r="H109" s="17">
        <f>1/$H$29-LN($H$29)+($M$16*EXP($M$16/($D$14*$M$15))/(($D$14*$M$15^2)*(1-1.05*($M$17^1.26))))*'F(T,E)'!I89</f>
        <v>-11.445319408887602</v>
      </c>
      <c r="I109" s="17">
        <f>1/$I$29-LN($I$29)+($N$16*EXP($N$16/($D$14*$N$15))/(($D$14*$N$15^2)*(1-1.05*($N$17^1.26))))*'F(T,E)'!J89</f>
        <v>-3.9898849977159827</v>
      </c>
      <c r="J109" s="17">
        <f>1/$J$29-LN($J$29)+($O$16*EXP($O$16/($D$14*$O$15))/(($D$14*$O$15^2)*(1-1.05*($O$17^1.26))))*'F(T,E)'!K89</f>
        <v>-1.6531821685255375</v>
      </c>
      <c r="K109" s="17">
        <f>1/$K$29-LN($K$29)+($P$16*EXP($P$16/($D$14*$P$15))/(($D$14*$P$15^2)*(1-1.05*($P$17^1.26))))*'F(T,E)'!L89</f>
        <v>0.30244570224747064</v>
      </c>
      <c r="L109" s="17">
        <f>1/$L$29-LN($L$29)+($Q$16*EXP($Q$16/($D$14*$Q$15))/(($D$14*$Q$15^2)*(1-1.05*($Q$17^1.26))))*'F(T,E)'!M89</f>
        <v>-1.182777707543524</v>
      </c>
      <c r="M109" s="17">
        <f>1/$M$29-LN($M$29)+($R$16*EXP($R$16/($D$14*$R$15))/(($D$14*$R$15^2)*(1-1.05*($R$17^1.26))))*'F(T,E)'!N89</f>
        <v>178.29321758186902</v>
      </c>
      <c r="N109" s="17">
        <f>1/$N$29-LN($N$29)+($S$16*EXP($S$16/($D$14*$S$15))/(($D$14*$S$15^2)*(1-1.05*($S$17^1.26))))*'F(T,E)'!O89</f>
        <v>-11.512905016750608</v>
      </c>
      <c r="O109" s="25"/>
      <c r="P109" s="20">
        <f t="shared" si="30"/>
        <v>2667.2259603533507</v>
      </c>
      <c r="Q109" s="20">
        <f t="shared" si="31"/>
        <v>39.893722257415071</v>
      </c>
      <c r="R109" s="20">
        <f t="shared" si="32"/>
        <v>0.17827196540450932</v>
      </c>
      <c r="S109" s="20">
        <f t="shared" si="33"/>
        <v>1.0699322800091116E-5</v>
      </c>
      <c r="T109" s="20">
        <f t="shared" si="34"/>
        <v>1.8168722268559236E-2</v>
      </c>
      <c r="U109" s="20">
        <f t="shared" si="35"/>
        <v>0.16269511587700416</v>
      </c>
      <c r="V109" s="20">
        <f t="shared" si="36"/>
        <v>0.68328659608197406</v>
      </c>
      <c r="W109" s="20">
        <f t="shared" si="37"/>
        <v>0.24084092366571566</v>
      </c>
      <c r="X109" s="20">
        <f t="shared" si="38"/>
        <v>173.13912213634751</v>
      </c>
      <c r="Y109" s="20">
        <f t="shared" si="39"/>
        <v>1.0000104481697204E-5</v>
      </c>
      <c r="Z109" s="25"/>
      <c r="AA109" s="20">
        <f t="shared" si="41"/>
        <v>0.33152346201821514</v>
      </c>
      <c r="AB109" s="20">
        <f t="shared" si="42"/>
        <v>36.305358808630302</v>
      </c>
      <c r="AC109" s="20">
        <f t="shared" si="43"/>
        <v>57731.733431525463</v>
      </c>
      <c r="AD109" s="20">
        <f t="shared" si="44"/>
        <v>13909.562769318462</v>
      </c>
      <c r="AE109" s="20">
        <f t="shared" si="45"/>
        <v>866.5006453237861</v>
      </c>
      <c r="AF109" s="20">
        <f t="shared" si="46"/>
        <v>2.4490202713743385</v>
      </c>
      <c r="AG109" s="20">
        <f t="shared" si="47"/>
        <v>3.5589080587524205E-2</v>
      </c>
      <c r="AH109" s="20">
        <f t="shared" si="48"/>
        <v>2.0889434159842944E-4</v>
      </c>
      <c r="AI109" s="20">
        <f t="shared" si="49"/>
        <v>0</v>
      </c>
      <c r="AJ109" s="20">
        <v>50</v>
      </c>
      <c r="AK109" s="25"/>
      <c r="AL109" s="20">
        <f t="shared" si="50"/>
        <v>72596.918546684668</v>
      </c>
      <c r="AM109" s="25"/>
      <c r="AN109" s="20">
        <f t="shared" si="51"/>
        <v>248085.13413671285</v>
      </c>
      <c r="AO109" s="20">
        <f t="shared" si="52"/>
        <v>498.0814533153316</v>
      </c>
      <c r="AQ109" s="20">
        <f t="shared" si="53"/>
        <v>6.4971969244472454E-5</v>
      </c>
      <c r="AR109" s="20">
        <v>435</v>
      </c>
      <c r="AS109" s="20">
        <f t="shared" si="54"/>
        <v>6.8141658569714977E-2</v>
      </c>
    </row>
    <row r="110" spans="2:45" x14ac:dyDescent="0.3">
      <c r="B110" s="32">
        <v>163</v>
      </c>
      <c r="C110" s="32">
        <v>71103</v>
      </c>
      <c r="D110" s="7">
        <f t="shared" si="40"/>
        <v>436</v>
      </c>
      <c r="E110" s="17">
        <f>1/$E$29-LN($E$29)+($J$16*EXP($J$16/($D$14*$J$15))/(($D$14*$J$15^2)*(1-1.05*($J$17^1.26))))*'F(T,E)'!F90</f>
        <v>2851.7973811244829</v>
      </c>
      <c r="F110" s="17">
        <f>1/$F$29-LN($F$29)+($K$16*EXP($K$16/($D$14*$K$15))/(($D$14*$K$15^2)*(1-1.05*($K$17^1.26))))*'F(T,E)'!G90</f>
        <v>47.679929288044477</v>
      </c>
      <c r="G110" s="17">
        <f>1/$G$29-LN($G$29)+($L$16*EXP($L$16/($D$14*$L$15))/(($D$14*$L$15^2)*(1-1.05*($L$17^1.26))))*'F(T,E)'!H90</f>
        <v>-1.4088188181250156</v>
      </c>
      <c r="H110" s="17">
        <f>1/$H$29-LN($H$29)+($M$16*EXP($M$16/($D$14*$M$15))/(($D$14*$M$15^2)*(1-1.05*($M$17^1.26))))*'F(T,E)'!I90</f>
        <v>-11.437849596470114</v>
      </c>
      <c r="I110" s="17">
        <f>1/$I$29-LN($I$29)+($N$16*EXP($N$16/($D$14*$N$15))/(($D$14*$N$15^2)*(1-1.05*($N$17^1.26))))*'F(T,E)'!J90</f>
        <v>-3.9896878722313418</v>
      </c>
      <c r="J110" s="17">
        <f>1/$J$29-LN($J$29)+($O$16*EXP($O$16/($D$14*$O$15))/(($D$14*$O$15^2)*(1-1.05*($O$17^1.26))))*'F(T,E)'!K90</f>
        <v>-1.6531519689841414</v>
      </c>
      <c r="K110" s="17">
        <f>1/$K$29-LN($K$29)+($P$16*EXP($P$16/($D$14*$P$15))/(($D$14*$P$15^2)*(1-1.05*($P$17^1.26))))*'F(T,E)'!L90</f>
        <v>0.30244604863272995</v>
      </c>
      <c r="L110" s="17">
        <f>1/$L$29-LN($L$29)+($Q$16*EXP($Q$16/($D$14*$Q$15))/(($D$14*$Q$15^2)*(1-1.05*($Q$17^1.26))))*'F(T,E)'!M90</f>
        <v>-1.1827777044639574</v>
      </c>
      <c r="M110" s="17">
        <f>1/$M$29-LN($M$29)+($R$16*EXP($R$16/($D$14*$R$15))/(($D$14*$R$15^2)*(1-1.05*($R$17^1.26))))*'F(T,E)'!N90</f>
        <v>182.55068891303202</v>
      </c>
      <c r="N110" s="17">
        <f>1/$N$29-LN($N$29)+($S$16*EXP($S$16/($D$14*$S$15))/(($D$14*$S$15^2)*(1-1.05*($S$17^1.26))))*'F(T,E)'!O90</f>
        <v>-11.51290496681332</v>
      </c>
      <c r="O110" s="25"/>
      <c r="P110" s="20">
        <f t="shared" si="30"/>
        <v>2843.8430712479503</v>
      </c>
      <c r="Q110" s="20">
        <f t="shared" si="31"/>
        <v>43.898059178986507</v>
      </c>
      <c r="R110" s="20">
        <f t="shared" si="32"/>
        <v>0.20010320456718067</v>
      </c>
      <c r="S110" s="20">
        <f t="shared" si="33"/>
        <v>1.077954311523095E-5</v>
      </c>
      <c r="T110" s="20">
        <f t="shared" si="34"/>
        <v>1.8172240210765904E-2</v>
      </c>
      <c r="U110" s="20">
        <f t="shared" si="35"/>
        <v>0.16269934172494999</v>
      </c>
      <c r="V110" s="20">
        <f t="shared" si="36"/>
        <v>0.68328673668810713</v>
      </c>
      <c r="W110" s="20">
        <f t="shared" si="37"/>
        <v>0.24084092426344392</v>
      </c>
      <c r="X110" s="20">
        <f t="shared" si="38"/>
        <v>177.37243722599447</v>
      </c>
      <c r="Y110" s="20">
        <f t="shared" si="39"/>
        <v>1.0000104981070323E-5</v>
      </c>
      <c r="Z110" s="25"/>
      <c r="AA110" s="20">
        <f t="shared" si="41"/>
        <v>0.3095014430808295</v>
      </c>
      <c r="AB110" s="20">
        <f t="shared" si="42"/>
        <v>32.45418434052965</v>
      </c>
      <c r="AC110" s="20">
        <f t="shared" si="43"/>
        <v>54885.533760755221</v>
      </c>
      <c r="AD110" s="20">
        <f t="shared" si="44"/>
        <v>15263.365109479342</v>
      </c>
      <c r="AE110" s="20">
        <f t="shared" si="45"/>
        <v>991.16397121091654</v>
      </c>
      <c r="AF110" s="20">
        <f t="shared" si="46"/>
        <v>2.7232024503626948</v>
      </c>
      <c r="AG110" s="20">
        <f t="shared" si="47"/>
        <v>4.0914249683416323E-2</v>
      </c>
      <c r="AH110" s="20">
        <f t="shared" si="48"/>
        <v>2.4162507171912221E-4</v>
      </c>
      <c r="AI110" s="20">
        <f t="shared" si="49"/>
        <v>0</v>
      </c>
      <c r="AJ110" s="20">
        <v>50</v>
      </c>
      <c r="AK110" s="25"/>
      <c r="AL110" s="20">
        <f t="shared" si="50"/>
        <v>71225.590885554193</v>
      </c>
      <c r="AM110" s="25"/>
      <c r="AN110" s="20">
        <f t="shared" si="51"/>
        <v>15028.52522096123</v>
      </c>
      <c r="AO110" s="20">
        <f t="shared" si="52"/>
        <v>122.59088555419294</v>
      </c>
      <c r="AQ110" s="20">
        <f t="shared" si="53"/>
        <v>1.5991302612982666E-5</v>
      </c>
      <c r="AR110" s="20">
        <v>436</v>
      </c>
      <c r="AS110" s="20">
        <f t="shared" si="54"/>
        <v>-1.7241309867965196E-2</v>
      </c>
    </row>
    <row r="111" spans="2:45" x14ac:dyDescent="0.3">
      <c r="B111" s="32">
        <v>165</v>
      </c>
      <c r="C111" s="32">
        <v>68707</v>
      </c>
      <c r="D111" s="7">
        <f t="shared" si="40"/>
        <v>438</v>
      </c>
      <c r="E111" s="17">
        <f>1/$E$29-LN($E$29)+($J$16*EXP($J$16/($D$14*$J$15))/(($D$14*$J$15^2)*(1-1.05*($J$17^1.26))))*'F(T,E)'!F91</f>
        <v>3238.1453454585135</v>
      </c>
      <c r="F111" s="17">
        <f>1/$F$29-LN($F$29)+($K$16*EXP($K$16/($D$14*$K$15))/(($D$14*$K$15^2)*(1-1.05*($K$17^1.26))))*'F(T,E)'!G91</f>
        <v>56.885232567895777</v>
      </c>
      <c r="G111" s="17">
        <f>1/$G$29-LN($G$29)+($L$16*EXP($L$16/($D$14*$L$15))/(($D$14*$L$15^2)*(1-1.05*($L$17^1.26))))*'F(T,E)'!H91</f>
        <v>-1.0974306374659806</v>
      </c>
      <c r="H111" s="17">
        <f>1/$H$29-LN($H$29)+($M$16*EXP($M$16/($D$14*$M$15))/(($D$14*$M$15^2)*(1-1.05*($M$17^1.26))))*'F(T,E)'!I91</f>
        <v>-11.420472038162181</v>
      </c>
      <c r="I111" s="17">
        <f>1/$I$29-LN($I$29)+($N$16*EXP($N$16/($D$14*$N$15))/(($D$14*$N$15^2)*(1-1.05*($N$17^1.26))))*'F(T,E)'!J91</f>
        <v>-3.9892047116566518</v>
      </c>
      <c r="J111" s="17">
        <f>1/$J$29-LN($J$29)+($O$16*EXP($O$16/($D$14*$O$15))/(($D$14*$O$15^2)*(1-1.05*($O$17^1.26))))*'F(T,E)'!K91</f>
        <v>-1.6530810913768623</v>
      </c>
      <c r="K111" s="17">
        <f>1/$K$29-LN($K$29)+($P$16*EXP($P$16/($D$14*$P$15))/(($D$14*$P$15^2)*(1-1.05*($P$17^1.26))))*'F(T,E)'!L91</f>
        <v>0.30244690391700307</v>
      </c>
      <c r="L111" s="17">
        <f>1/$L$29-LN($L$29)+($Q$16*EXP($Q$16/($D$14*$Q$15))/(($D$14*$Q$15^2)*(1-1.05*($Q$17^1.26))))*'F(T,E)'!M91</f>
        <v>-1.1827776967884915</v>
      </c>
      <c r="M111" s="17">
        <f>1/$M$29-LN($M$29)+($R$16*EXP($R$16/($D$14*$R$15))/(($D$14*$R$15^2)*(1-1.05*($R$17^1.26))))*'F(T,E)'!N91</f>
        <v>191.29651144771077</v>
      </c>
      <c r="N111" s="17">
        <f>1/$N$29-LN($N$29)+($S$16*EXP($S$16/($D$14*$S$15))/(($D$14*$S$15^2)*(1-1.05*($S$17^1.26))))*'F(T,E)'!O91</f>
        <v>-11.512904850493447</v>
      </c>
      <c r="O111" s="25"/>
      <c r="P111" s="20">
        <f t="shared" si="30"/>
        <v>3230.0638374911737</v>
      </c>
      <c r="Q111" s="20">
        <f t="shared" si="31"/>
        <v>52.916517046267202</v>
      </c>
      <c r="R111" s="20">
        <f t="shared" si="32"/>
        <v>0.2578698072031812</v>
      </c>
      <c r="S111" s="20">
        <f t="shared" si="33"/>
        <v>1.0968500251378681E-5</v>
      </c>
      <c r="T111" s="20">
        <f t="shared" si="34"/>
        <v>1.8180865624076045E-2</v>
      </c>
      <c r="U111" s="20">
        <f t="shared" si="35"/>
        <v>0.16270926006061742</v>
      </c>
      <c r="V111" s="20">
        <f t="shared" si="36"/>
        <v>0.68328708386870052</v>
      </c>
      <c r="W111" s="20">
        <f t="shared" si="37"/>
        <v>0.24084092575321286</v>
      </c>
      <c r="X111" s="20">
        <f t="shared" si="38"/>
        <v>186.07038642394684</v>
      </c>
      <c r="Y111" s="20">
        <f t="shared" si="39"/>
        <v>1.0000106144269697E-5</v>
      </c>
      <c r="Z111" s="25"/>
      <c r="AA111" s="20">
        <f t="shared" si="41"/>
        <v>0.2700076162027521</v>
      </c>
      <c r="AB111" s="20">
        <f t="shared" si="42"/>
        <v>26.121379708677246</v>
      </c>
      <c r="AC111" s="20">
        <f t="shared" si="43"/>
        <v>47948.309361827225</v>
      </c>
      <c r="AD111" s="20">
        <f t="shared" si="44"/>
        <v>18309.14826896743</v>
      </c>
      <c r="AE111" s="20">
        <f t="shared" si="45"/>
        <v>1294.3725301410543</v>
      </c>
      <c r="AF111" s="20">
        <f t="shared" si="46"/>
        <v>3.3621652382081866</v>
      </c>
      <c r="AG111" s="20">
        <f t="shared" si="47"/>
        <v>5.3971018837861588E-2</v>
      </c>
      <c r="AH111" s="20">
        <f t="shared" si="48"/>
        <v>3.2263142877722665E-4</v>
      </c>
      <c r="AI111" s="20">
        <f t="shared" si="49"/>
        <v>0</v>
      </c>
      <c r="AJ111" s="20">
        <v>50</v>
      </c>
      <c r="AK111" s="25"/>
      <c r="AL111" s="20">
        <f t="shared" si="50"/>
        <v>67631.638007149071</v>
      </c>
      <c r="AM111" s="25"/>
      <c r="AN111" s="20">
        <f t="shared" si="51"/>
        <v>1156403.4156683211</v>
      </c>
      <c r="AO111" s="20">
        <f t="shared" si="52"/>
        <v>1075.3619928509288</v>
      </c>
      <c r="AQ111" s="20">
        <f t="shared" si="53"/>
        <v>1.4027502100535352E-4</v>
      </c>
      <c r="AR111" s="20">
        <v>438</v>
      </c>
      <c r="AS111" s="20">
        <f t="shared" si="54"/>
        <v>0.15651418237602119</v>
      </c>
    </row>
    <row r="112" spans="2:45" x14ac:dyDescent="0.3">
      <c r="B112" s="32">
        <v>166</v>
      </c>
      <c r="C112" s="32">
        <v>65365</v>
      </c>
      <c r="D112" s="7">
        <f t="shared" si="40"/>
        <v>439</v>
      </c>
      <c r="E112" s="17">
        <f>1/$E$29-LN($E$29)+($J$16*EXP($J$16/($D$14*$J$15))/(($D$14*$J$15^2)*(1-1.05*($J$17^1.26))))*'F(T,E)'!F92</f>
        <v>3449.0537844227656</v>
      </c>
      <c r="F112" s="17">
        <f>1/$F$29-LN($F$29)+($K$16*EXP($K$16/($D$14*$K$15))/(($D$14*$K$15^2)*(1-1.05*($K$17^1.26))))*'F(T,E)'!G92</f>
        <v>62.041039168337683</v>
      </c>
      <c r="G112" s="17">
        <f>1/$G$29-LN($G$29)+($L$16*EXP($L$16/($D$14*$L$15))/(($D$14*$L$15^2)*(1-1.05*($L$17^1.26))))*'F(T,E)'!H92</f>
        <v>-0.92138292408160982</v>
      </c>
      <c r="H112" s="17">
        <f>1/$H$29-LN($H$29)+($M$16*EXP($M$16/($D$14*$M$15))/(($D$14*$M$15^2)*(1-1.05*($M$17^1.26))))*'F(T,E)'!I92</f>
        <v>-11.41039961184851</v>
      </c>
      <c r="I112" s="17">
        <f>1/$I$29-LN($I$29)+($N$16*EXP($N$16/($D$14*$N$15))/(($D$14*$N$15^2)*(1-1.05*($N$17^1.26))))*'F(T,E)'!J92</f>
        <v>-3.9889103304475766</v>
      </c>
      <c r="J112" s="17">
        <f>1/$J$29-LN($J$29)+($O$16*EXP($O$16/($D$14*$O$15))/(($D$14*$O$15^2)*(1-1.05*($O$17^1.26))))*'F(T,E)'!K92</f>
        <v>-1.6530396596575381</v>
      </c>
      <c r="K112" s="17">
        <f>1/$K$29-LN($K$29)+($P$16*EXP($P$16/($D$14*$P$15))/(($D$14*$P$15^2)*(1-1.05*($P$17^1.26))))*'F(T,E)'!L92</f>
        <v>0.30244742868943414</v>
      </c>
      <c r="L112" s="17">
        <f>1/$L$29-LN($L$29)+($Q$16*EXP($Q$16/($D$14*$Q$15))/(($D$14*$Q$15^2)*(1-1.05*($Q$17^1.26))))*'F(T,E)'!M92</f>
        <v>-1.1827776920371227</v>
      </c>
      <c r="M112" s="17">
        <f>1/$M$29-LN($M$29)+($R$16*EXP($R$16/($D$14*$R$15))/(($D$14*$R$15^2)*(1-1.05*($R$17^1.26))))*'F(T,E)'!N92</f>
        <v>195.78687765619802</v>
      </c>
      <c r="N112" s="17">
        <f>1/$N$29-LN($N$29)+($S$16*EXP($S$16/($D$14*$S$15))/(($D$14*$S$15^2)*(1-1.05*($S$17^1.26))))*'F(T,E)'!O92</f>
        <v>-11.512904782989699</v>
      </c>
      <c r="O112" s="25"/>
      <c r="P112" s="20">
        <f t="shared" si="30"/>
        <v>3440.9091100983433</v>
      </c>
      <c r="Q112" s="20">
        <f t="shared" si="31"/>
        <v>57.980925089648103</v>
      </c>
      <c r="R112" s="20">
        <f t="shared" si="32"/>
        <v>0.29600294643927377</v>
      </c>
      <c r="S112" s="20">
        <f t="shared" si="33"/>
        <v>1.1079536702366365E-5</v>
      </c>
      <c r="T112" s="20">
        <f t="shared" si="34"/>
        <v>1.8186122907287442E-2</v>
      </c>
      <c r="U112" s="20">
        <f t="shared" si="35"/>
        <v>0.1627150580945094</v>
      </c>
      <c r="V112" s="20">
        <f t="shared" si="36"/>
        <v>0.68328729688658729</v>
      </c>
      <c r="W112" s="20">
        <f t="shared" si="37"/>
        <v>0.24084092667542945</v>
      </c>
      <c r="X112" s="20">
        <f t="shared" si="38"/>
        <v>190.53703109159011</v>
      </c>
      <c r="Y112" s="20">
        <f t="shared" si="39"/>
        <v>1.0000106819307618E-5</v>
      </c>
      <c r="Z112" s="25"/>
      <c r="AA112" s="20">
        <f t="shared" si="41"/>
        <v>0.25231192315014339</v>
      </c>
      <c r="AB112" s="20">
        <f t="shared" si="42"/>
        <v>23.510859941390308</v>
      </c>
      <c r="AC112" s="20">
        <f t="shared" si="43"/>
        <v>44015.064438115674</v>
      </c>
      <c r="AD112" s="20">
        <f t="shared" si="44"/>
        <v>20011.533768427515</v>
      </c>
      <c r="AE112" s="20">
        <f t="shared" si="45"/>
        <v>1477.7347169262491</v>
      </c>
      <c r="AF112" s="20">
        <f t="shared" si="46"/>
        <v>3.7331306121237899</v>
      </c>
      <c r="AG112" s="20">
        <f t="shared" si="47"/>
        <v>6.192878974966004E-2</v>
      </c>
      <c r="AH112" s="20">
        <f t="shared" si="48"/>
        <v>3.7244313386127631E-4</v>
      </c>
      <c r="AI112" s="20">
        <f t="shared" si="49"/>
        <v>0</v>
      </c>
      <c r="AJ112" s="20">
        <v>50</v>
      </c>
      <c r="AK112" s="25"/>
      <c r="AL112" s="20">
        <f t="shared" si="50"/>
        <v>65581.891527178988</v>
      </c>
      <c r="AM112" s="25"/>
      <c r="AN112" s="20">
        <f t="shared" si="51"/>
        <v>47041.934562033835</v>
      </c>
      <c r="AO112" s="20">
        <f t="shared" si="52"/>
        <v>216.89152717898833</v>
      </c>
      <c r="AQ112" s="20">
        <f t="shared" si="53"/>
        <v>2.8292299461185588E-5</v>
      </c>
      <c r="AR112" s="20">
        <v>439</v>
      </c>
      <c r="AS112" s="20">
        <f t="shared" si="54"/>
        <v>-3.3181599813200999E-2</v>
      </c>
    </row>
    <row r="113" spans="2:45" x14ac:dyDescent="0.3">
      <c r="B113" s="32">
        <v>168</v>
      </c>
      <c r="C113" s="32">
        <v>62496</v>
      </c>
      <c r="D113" s="7">
        <f t="shared" si="40"/>
        <v>441</v>
      </c>
      <c r="E113" s="17">
        <f>1/$E$29-LN($E$29)+($J$16*EXP($J$16/($D$14*$J$15))/(($D$14*$J$15^2)*(1-1.05*($J$17^1.26))))*'F(T,E)'!F93</f>
        <v>3909.6833145523105</v>
      </c>
      <c r="F113" s="17">
        <f>1/$F$29-LN($F$29)+($K$16*EXP($K$16/($D$14*$K$15))/(($D$14*$K$15^2)*(1-1.05*($K$17^1.26))))*'F(T,E)'!G93</f>
        <v>73.598541553576865</v>
      </c>
      <c r="G113" s="17">
        <f>1/$G$29-LN($G$29)+($L$16*EXP($L$16/($D$14*$L$15))/(($D$14*$L$15^2)*(1-1.05*($L$17^1.26))))*'F(T,E)'!H93</f>
        <v>-0.52295985401358047</v>
      </c>
      <c r="H113" s="17">
        <f>1/$H$29-LN($H$29)+($M$16*EXP($M$16/($D$14*$M$15))/(($D$14*$M$15^2)*(1-1.05*($M$17^1.26))))*'F(T,E)'!I93</f>
        <v>-11.387015962583597</v>
      </c>
      <c r="I113" s="17">
        <f>1/$I$29-LN($I$29)+($N$16*EXP($N$16/($D$14*$N$15))/(($D$14*$N$15^2)*(1-1.05*($N$17^1.26))))*'F(T,E)'!J93</f>
        <v>-3.9881908089680471</v>
      </c>
      <c r="J113" s="17">
        <f>1/$J$29-LN($J$29)+($O$16*EXP($O$16/($D$14*$O$15))/(($D$14*$O$15^2)*(1-1.05*($O$17^1.26))))*'F(T,E)'!K93</f>
        <v>-1.652942633723063</v>
      </c>
      <c r="K113" s="17">
        <f>1/$K$29-LN($K$29)+($P$16*EXP($P$16/($D$14*$P$15))/(($D$14*$P$15^2)*(1-1.05*($P$17^1.26))))*'F(T,E)'!L93</f>
        <v>0.3024487206895245</v>
      </c>
      <c r="L113" s="17">
        <f>1/$L$29-LN($L$29)+($Q$16*EXP($Q$16/($D$14*$Q$15))/(($D$14*$Q$15^2)*(1-1.05*($Q$17^1.26))))*'F(T,E)'!M93</f>
        <v>-1.1827776802307146</v>
      </c>
      <c r="M113" s="17">
        <f>1/$M$29-LN($M$29)+($R$16*EXP($R$16/($D$14*$R$15))/(($D$14*$R$15^2)*(1-1.05*($R$17^1.26))))*'F(T,E)'!N93</f>
        <v>205.00761153510211</v>
      </c>
      <c r="N113" s="17">
        <f>1/$N$29-LN($N$29)+($S$16*EXP($S$16/($D$14*$S$15))/(($D$14*$S$15^2)*(1-1.05*($S$17^1.26))))*'F(T,E)'!O93</f>
        <v>-11.512904626080514</v>
      </c>
      <c r="O113" s="25"/>
      <c r="P113" s="20">
        <f t="shared" si="30"/>
        <v>3901.4131606817064</v>
      </c>
      <c r="Q113" s="20">
        <f t="shared" si="31"/>
        <v>69.359242147526345</v>
      </c>
      <c r="R113" s="20">
        <f t="shared" si="32"/>
        <v>0.3980977775700516</v>
      </c>
      <c r="S113" s="20">
        <f t="shared" si="33"/>
        <v>1.1341666596854858E-5</v>
      </c>
      <c r="T113" s="20">
        <f t="shared" si="34"/>
        <v>1.8198978953636372E-2</v>
      </c>
      <c r="U113" s="20">
        <f t="shared" si="35"/>
        <v>0.16272863678431743</v>
      </c>
      <c r="V113" s="20">
        <f t="shared" si="36"/>
        <v>0.68328782134099997</v>
      </c>
      <c r="W113" s="20">
        <f t="shared" si="37"/>
        <v>0.24084092896699336</v>
      </c>
      <c r="X113" s="20">
        <f t="shared" si="38"/>
        <v>199.71074150790503</v>
      </c>
      <c r="Y113" s="20">
        <f t="shared" si="39"/>
        <v>1.0000108388400656E-5</v>
      </c>
      <c r="Z113" s="25"/>
      <c r="AA113" s="20">
        <f t="shared" si="41"/>
        <v>0.22052811874547018</v>
      </c>
      <c r="AB113" s="20">
        <f t="shared" si="42"/>
        <v>19.155938942497915</v>
      </c>
      <c r="AC113" s="20">
        <f t="shared" si="43"/>
        <v>35717.264613064479</v>
      </c>
      <c r="AD113" s="20">
        <f t="shared" si="44"/>
        <v>23796.517300962747</v>
      </c>
      <c r="AE113" s="20">
        <f t="shared" si="45"/>
        <v>1922.3370078161661</v>
      </c>
      <c r="AF113" s="20">
        <f t="shared" si="46"/>
        <v>4.5957537893576843</v>
      </c>
      <c r="AG113" s="20">
        <f t="shared" si="47"/>
        <v>8.1384888903076574E-2</v>
      </c>
      <c r="AH113" s="20">
        <f t="shared" si="48"/>
        <v>4.9535691368671067E-4</v>
      </c>
      <c r="AI113" s="20">
        <f t="shared" si="49"/>
        <v>0</v>
      </c>
      <c r="AJ113" s="20">
        <v>50</v>
      </c>
      <c r="AK113" s="25"/>
      <c r="AL113" s="20">
        <f t="shared" si="50"/>
        <v>61510.173022939809</v>
      </c>
      <c r="AM113" s="25"/>
      <c r="AN113" s="20">
        <f t="shared" si="51"/>
        <v>971854.82869963429</v>
      </c>
      <c r="AO113" s="20">
        <f t="shared" si="52"/>
        <v>985.82697706019098</v>
      </c>
      <c r="AQ113" s="20">
        <f t="shared" si="53"/>
        <v>1.2859567367463429E-4</v>
      </c>
      <c r="AR113" s="20">
        <v>441</v>
      </c>
      <c r="AS113" s="20">
        <f t="shared" si="54"/>
        <v>0.15774241184398857</v>
      </c>
    </row>
    <row r="114" spans="2:45" x14ac:dyDescent="0.3">
      <c r="B114" s="32">
        <v>169</v>
      </c>
      <c r="C114" s="32">
        <v>59440</v>
      </c>
      <c r="D114" s="7">
        <f t="shared" si="40"/>
        <v>442</v>
      </c>
      <c r="E114" s="17">
        <f>1/$E$29-LN($E$29)+($J$16*EXP($J$16/($D$14*$J$15))/(($D$14*$J$15^2)*(1-1.05*($J$17^1.26))))*'F(T,E)'!F94</f>
        <v>4160.8439057003097</v>
      </c>
      <c r="F114" s="17">
        <f>1/$F$29-LN($F$29)+($K$16*EXP($K$16/($D$14*$K$15))/(($D$14*$K$15^2)*(1-1.05*($K$17^1.26))))*'F(T,E)'!G94</f>
        <v>80.061891039928966</v>
      </c>
      <c r="G114" s="17">
        <f>1/$G$29-LN($G$29)+($L$16*EXP($L$16/($D$14*$L$15))/(($D$14*$L$15^2)*(1-1.05*($L$17^1.26))))*'F(T,E)'!H94</f>
        <v>-0.29807850481687659</v>
      </c>
      <c r="H114" s="17">
        <f>1/$H$29-LN($H$29)+($M$16*EXP($M$16/($D$14*$M$15))/(($D$14*$M$15^2)*(1-1.05*($M$17^1.26))))*'F(T,E)'!I94</f>
        <v>-11.373489199219243</v>
      </c>
      <c r="I114" s="17">
        <f>1/$I$29-LN($I$29)+($N$16*EXP($N$16/($D$14*$N$15))/(($D$14*$N$15^2)*(1-1.05*($N$17^1.26))))*'F(T,E)'!J94</f>
        <v>-3.9877535785024003</v>
      </c>
      <c r="J114" s="17">
        <f>1/$J$29-LN($J$29)+($O$16*EXP($O$16/($D$14*$O$15))/(($D$14*$O$15^2)*(1-1.05*($O$17^1.26))))*'F(T,E)'!K94</f>
        <v>-1.6528860359985511</v>
      </c>
      <c r="K114" s="17">
        <f>1/$K$29-LN($K$29)+($P$16*EXP($P$16/($D$14*$P$15))/(($D$14*$P$15^2)*(1-1.05*($P$17^1.26))))*'F(T,E)'!L94</f>
        <v>0.30244951124219122</v>
      </c>
      <c r="L114" s="17">
        <f>1/$L$29-LN($L$29)+($Q$16*EXP($Q$16/($D$14*$Q$15))/(($D$14*$Q$15^2)*(1-1.05*($Q$17^1.26))))*'F(T,E)'!M94</f>
        <v>-1.1827776729430477</v>
      </c>
      <c r="M114" s="17">
        <f>1/$M$29-LN($M$29)+($R$16*EXP($R$16/($D$14*$R$15))/(($D$14*$R$15^2)*(1-1.05*($R$17^1.26))))*'F(T,E)'!N94</f>
        <v>209.74003738472564</v>
      </c>
      <c r="N114" s="17">
        <f>1/$N$29-LN($N$29)+($S$16*EXP($S$16/($D$14*$S$15))/(($D$14*$S$15^2)*(1-1.05*($S$17^1.26))))*'F(T,E)'!O94</f>
        <v>-11.512904535204022</v>
      </c>
      <c r="O114" s="25"/>
      <c r="P114" s="20">
        <f t="shared" si="30"/>
        <v>4152.5114339219062</v>
      </c>
      <c r="Q114" s="20">
        <f t="shared" si="31"/>
        <v>75.734655187837646</v>
      </c>
      <c r="R114" s="20">
        <f t="shared" si="32"/>
        <v>0.46583826693794855</v>
      </c>
      <c r="S114" s="20">
        <f t="shared" si="33"/>
        <v>1.1496123167023526E-5</v>
      </c>
      <c r="T114" s="20">
        <f t="shared" si="34"/>
        <v>1.8206795526191463E-2</v>
      </c>
      <c r="U114" s="20">
        <f t="shared" si="35"/>
        <v>0.1627365580335679</v>
      </c>
      <c r="V114" s="20">
        <f t="shared" si="36"/>
        <v>0.68328814224576606</v>
      </c>
      <c r="W114" s="20">
        <f t="shared" si="37"/>
        <v>0.24084093038149257</v>
      </c>
      <c r="X114" s="20">
        <f t="shared" si="38"/>
        <v>204.41986136202655</v>
      </c>
      <c r="Y114" s="20">
        <f t="shared" si="39"/>
        <v>1.0000109297166379E-5</v>
      </c>
      <c r="Z114" s="25"/>
      <c r="AA114" s="20">
        <f t="shared" si="41"/>
        <v>0.2062650110552999</v>
      </c>
      <c r="AB114" s="20">
        <f t="shared" si="42"/>
        <v>17.336140849088622</v>
      </c>
      <c r="AC114" s="20">
        <f t="shared" si="43"/>
        <v>31571.463744770226</v>
      </c>
      <c r="AD114" s="20">
        <f t="shared" si="44"/>
        <v>25884.705631276414</v>
      </c>
      <c r="AE114" s="20">
        <f t="shared" si="45"/>
        <v>2190.4013037918339</v>
      </c>
      <c r="AF114" s="20">
        <f t="shared" si="46"/>
        <v>5.0955206237820851</v>
      </c>
      <c r="AG114" s="20">
        <f t="shared" si="47"/>
        <v>9.3210888902559644E-2</v>
      </c>
      <c r="AH114" s="20">
        <f t="shared" si="48"/>
        <v>5.7072516591427766E-4</v>
      </c>
      <c r="AI114" s="20">
        <f t="shared" si="49"/>
        <v>0</v>
      </c>
      <c r="AJ114" s="20">
        <v>50</v>
      </c>
      <c r="AK114" s="25"/>
      <c r="AL114" s="20">
        <f t="shared" si="50"/>
        <v>59719.302387936477</v>
      </c>
      <c r="AM114" s="25"/>
      <c r="AN114" s="20">
        <f t="shared" si="51"/>
        <v>78009.823907018465</v>
      </c>
      <c r="AO114" s="20">
        <f t="shared" si="52"/>
        <v>279.30238793647732</v>
      </c>
      <c r="AQ114" s="20">
        <f t="shared" si="53"/>
        <v>3.643345087059064E-5</v>
      </c>
      <c r="AR114" s="20">
        <v>442</v>
      </c>
      <c r="AS114" s="20">
        <f t="shared" si="54"/>
        <v>-4.6988961631305066E-2</v>
      </c>
    </row>
    <row r="115" spans="2:45" x14ac:dyDescent="0.3">
      <c r="B115" s="32">
        <v>171</v>
      </c>
      <c r="C115" s="32">
        <v>58180</v>
      </c>
      <c r="D115" s="7">
        <f t="shared" si="40"/>
        <v>444</v>
      </c>
      <c r="E115" s="17">
        <f>1/$E$29-LN($E$29)+($J$16*EXP($J$16/($D$14*$J$15))/(($D$14*$J$15^2)*(1-1.05*($J$17^1.26))))*'F(T,E)'!F95</f>
        <v>4708.7290698514507</v>
      </c>
      <c r="F115" s="17">
        <f>1/$F$29-LN($F$29)+($K$16*EXP($K$16/($D$14*$K$15))/(($D$14*$K$15^2)*(1-1.05*($K$17^1.26))))*'F(T,E)'!G95</f>
        <v>94.527973644019582</v>
      </c>
      <c r="G115" s="17">
        <f>1/$G$29-LN($G$29)+($L$16*EXP($L$16/($D$14*$L$15))/(($D$14*$L$15^2)*(1-1.05*($L$17^1.26))))*'F(T,E)'!H95</f>
        <v>0.21000692754211103</v>
      </c>
      <c r="H115" s="17">
        <f>1/$H$29-LN($H$29)+($M$16*EXP($M$16/($D$14*$M$15))/(($D$14*$M$15^2)*(1-1.05*($M$17^1.26))))*'F(T,E)'!I95</f>
        <v>-11.342149871944953</v>
      </c>
      <c r="I115" s="17">
        <f>1/$I$29-LN($I$29)+($N$16*EXP($N$16/($D$14*$N$15))/(($D$14*$N$15^2)*(1-1.05*($N$17^1.26))))*'F(T,E)'!J95</f>
        <v>-3.9866878317030947</v>
      </c>
      <c r="J115" s="17">
        <f>1/$J$29-LN($J$29)+($O$16*EXP($O$16/($D$14*$O$15))/(($D$14*$O$15^2)*(1-1.05*($O$17^1.26))))*'F(T,E)'!K95</f>
        <v>-1.6527537787204167</v>
      </c>
      <c r="K115" s="17">
        <f>1/$K$29-LN($K$29)+($P$16*EXP($P$16/($D$14*$P$15))/(($D$14*$P$15^2)*(1-1.05*($P$17^1.26))))*'F(T,E)'!L95</f>
        <v>0.30245145207755242</v>
      </c>
      <c r="L115" s="17">
        <f>1/$L$29-LN($L$29)+($Q$16*EXP($Q$16/($D$14*$Q$15))/(($D$14*$Q$15^2)*(1-1.05*($Q$17^1.26))))*'F(T,E)'!M95</f>
        <v>-1.182777654888004</v>
      </c>
      <c r="M115" s="17">
        <f>1/$M$29-LN($M$29)+($R$16*EXP($R$16/($D$14*$R$15))/(($D$14*$R$15^2)*(1-1.05*($R$17^1.26))))*'F(T,E)'!N95</f>
        <v>219.45420598132677</v>
      </c>
      <c r="N115" s="17">
        <f>1/$N$29-LN($N$29)+($S$16*EXP($S$16/($D$14*$S$15))/(($D$14*$S$15^2)*(1-1.05*($S$17^1.26))))*'F(T,E)'!O95</f>
        <v>-11.512904324398406</v>
      </c>
      <c r="O115" s="25"/>
      <c r="P115" s="20">
        <f t="shared" si="30"/>
        <v>4700.272794568823</v>
      </c>
      <c r="Q115" s="20">
        <f t="shared" si="31"/>
        <v>90.027854526830382</v>
      </c>
      <c r="R115" s="20">
        <f t="shared" si="32"/>
        <v>0.64637789578273097</v>
      </c>
      <c r="S115" s="20">
        <f t="shared" si="33"/>
        <v>1.1862104510590943E-5</v>
      </c>
      <c r="T115" s="20">
        <f t="shared" si="34"/>
        <v>1.8225862193938538E-2</v>
      </c>
      <c r="U115" s="20">
        <f t="shared" si="35"/>
        <v>0.16275506966189709</v>
      </c>
      <c r="V115" s="20">
        <f t="shared" si="36"/>
        <v>0.68328893007894165</v>
      </c>
      <c r="W115" s="20">
        <f t="shared" si="37"/>
        <v>0.24084093388588493</v>
      </c>
      <c r="X115" s="20">
        <f t="shared" si="38"/>
        <v>214.08781967815676</v>
      </c>
      <c r="Y115" s="20">
        <f t="shared" si="39"/>
        <v>1.0000111405224725E-5</v>
      </c>
      <c r="Z115" s="25"/>
      <c r="AA115" s="20">
        <f t="shared" si="41"/>
        <v>0.18060882137431827</v>
      </c>
      <c r="AB115" s="20">
        <f t="shared" si="42"/>
        <v>14.264858750153977</v>
      </c>
      <c r="AC115" s="20">
        <f t="shared" si="43"/>
        <v>23798.247824334416</v>
      </c>
      <c r="AD115" s="20">
        <f t="shared" si="44"/>
        <v>30455.697931666102</v>
      </c>
      <c r="AE115" s="20">
        <f t="shared" si="45"/>
        <v>2838.3128541679002</v>
      </c>
      <c r="AF115" s="20">
        <f t="shared" si="46"/>
        <v>6.255152556580672</v>
      </c>
      <c r="AG115" s="20">
        <f t="shared" si="47"/>
        <v>0.12204388092929712</v>
      </c>
      <c r="AH115" s="20">
        <f t="shared" si="48"/>
        <v>7.5615949522243701E-4</v>
      </c>
      <c r="AI115" s="20">
        <f t="shared" si="49"/>
        <v>0</v>
      </c>
      <c r="AJ115" s="20">
        <v>50</v>
      </c>
      <c r="AK115" s="25"/>
      <c r="AL115" s="20">
        <f t="shared" si="50"/>
        <v>57163.082030336962</v>
      </c>
      <c r="AM115" s="25"/>
      <c r="AN115" s="20">
        <f t="shared" si="51"/>
        <v>1034122.1570235956</v>
      </c>
      <c r="AO115" s="20">
        <f t="shared" si="52"/>
        <v>1016.9179696630381</v>
      </c>
      <c r="AQ115" s="20">
        <f t="shared" si="53"/>
        <v>1.3265132160475995E-4</v>
      </c>
      <c r="AR115" s="20">
        <v>444</v>
      </c>
      <c r="AS115" s="20">
        <f t="shared" si="54"/>
        <v>0.17478823816827743</v>
      </c>
    </row>
    <row r="116" spans="2:45" x14ac:dyDescent="0.3">
      <c r="B116" s="32">
        <v>172</v>
      </c>
      <c r="C116" s="32">
        <v>57472</v>
      </c>
      <c r="D116" s="7">
        <f t="shared" si="40"/>
        <v>445</v>
      </c>
      <c r="E116" s="17">
        <f>1/$E$29-LN($E$29)+($J$16*EXP($J$16/($D$14*$J$15))/(($D$14*$J$15^2)*(1-1.05*($J$17^1.26))))*'F(T,E)'!F96</f>
        <v>5007.1188906852412</v>
      </c>
      <c r="F116" s="17">
        <f>1/$F$29-LN($F$29)+($K$16*EXP($K$16/($D$14*$K$15))/(($D$14*$K$15^2)*(1-1.05*($K$17^1.26))))*'F(T,E)'!G96</f>
        <v>102.60577268725888</v>
      </c>
      <c r="G116" s="17">
        <f>1/$G$29-LN($G$29)+($L$16*EXP($L$16/($D$14*$L$15))/(($D$14*$L$15^2)*(1-1.05*($L$17^1.26))))*'F(T,E)'!H96</f>
        <v>0.49631975489440538</v>
      </c>
      <c r="H116" s="17">
        <f>1/$H$29-LN($H$29)+($M$16*EXP($M$16/($D$14*$M$15))/(($D$14*$M$15^2)*(1-1.05*($M$17^1.26))))*'F(T,E)'!I96</f>
        <v>-11.324056279657578</v>
      </c>
      <c r="I116" s="17">
        <f>1/$I$29-LN($I$29)+($N$16*EXP($N$16/($D$14*$N$15))/(($D$14*$N$15^2)*(1-1.05*($N$17^1.26))))*'F(T,E)'!J96</f>
        <v>-3.9860418924391969</v>
      </c>
      <c r="J116" s="17">
        <f>1/$J$29-LN($J$29)+($O$16*EXP($O$16/($D$14*$O$15))/(($D$14*$O$15^2)*(1-1.05*($O$17^1.26))))*'F(T,E)'!K96</f>
        <v>-1.6526767883905034</v>
      </c>
      <c r="K116" s="17">
        <f>1/$K$29-LN($K$29)+($P$16*EXP($P$16/($D$14*$P$15))/(($D$14*$P$15^2)*(1-1.05*($P$17^1.26))))*'F(T,E)'!L96</f>
        <v>0.30245263645035925</v>
      </c>
      <c r="L116" s="17">
        <f>1/$L$29-LN($L$29)+($Q$16*EXP($Q$16/($D$14*$Q$15))/(($D$14*$Q$15^2)*(1-1.05*($Q$17^1.26))))*'F(T,E)'!M96</f>
        <v>-1.1827776437745079</v>
      </c>
      <c r="M116" s="17">
        <f>1/$M$29-LN($M$29)+($R$16*EXP($R$16/($D$14*$R$15))/(($D$14*$R$15^2)*(1-1.05*($R$17^1.26))))*'F(T,E)'!N96</f>
        <v>224.4380497227034</v>
      </c>
      <c r="N116" s="17">
        <f>1/$N$29-LN($N$29)+($S$16*EXP($S$16/($D$14*$S$15))/(($D$14*$S$15^2)*(1-1.05*($S$17^1.26))))*'F(T,E)'!O96</f>
        <v>-11.512904202546597</v>
      </c>
      <c r="O116" s="25"/>
      <c r="P116" s="20">
        <f t="shared" si="30"/>
        <v>4998.6011253787574</v>
      </c>
      <c r="Q116" s="20">
        <f t="shared" si="31"/>
        <v>98.020595076822403</v>
      </c>
      <c r="R116" s="20">
        <f t="shared" si="32"/>
        <v>0.76465295568321046</v>
      </c>
      <c r="S116" s="20">
        <f t="shared" si="33"/>
        <v>1.2078683437717669E-5</v>
      </c>
      <c r="T116" s="20">
        <f t="shared" si="34"/>
        <v>1.8237427867663615E-2</v>
      </c>
      <c r="U116" s="20">
        <f t="shared" si="35"/>
        <v>0.16276584658613488</v>
      </c>
      <c r="V116" s="20">
        <f t="shared" si="36"/>
        <v>0.683289410845483</v>
      </c>
      <c r="W116" s="20">
        <f t="shared" si="37"/>
        <v>0.2408409360429582</v>
      </c>
      <c r="X116" s="20">
        <f t="shared" si="38"/>
        <v>219.04875539031167</v>
      </c>
      <c r="Y116" s="20">
        <f t="shared" si="39"/>
        <v>1.0000112623744277E-5</v>
      </c>
      <c r="Z116" s="25"/>
      <c r="AA116" s="20">
        <f t="shared" si="41"/>
        <v>0.1690784189095183</v>
      </c>
      <c r="AB116" s="20">
        <f t="shared" si="42"/>
        <v>12.967258231648332</v>
      </c>
      <c r="AC116" s="20">
        <f t="shared" si="43"/>
        <v>20331.718698496476</v>
      </c>
      <c r="AD116" s="20">
        <f t="shared" si="44"/>
        <v>32934.007459647299</v>
      </c>
      <c r="AE116" s="20">
        <f t="shared" si="45"/>
        <v>3227.740168536774</v>
      </c>
      <c r="AF116" s="20">
        <f t="shared" si="46"/>
        <v>6.9256030625948881</v>
      </c>
      <c r="AG116" s="20">
        <f t="shared" si="47"/>
        <v>0.13952308200665803</v>
      </c>
      <c r="AH116" s="20">
        <f t="shared" si="48"/>
        <v>8.695503583835227E-4</v>
      </c>
      <c r="AI116" s="20">
        <f t="shared" si="49"/>
        <v>0</v>
      </c>
      <c r="AJ116" s="20">
        <v>50</v>
      </c>
      <c r="AK116" s="25"/>
      <c r="AL116" s="20">
        <f t="shared" si="50"/>
        <v>56563.668659026065</v>
      </c>
      <c r="AM116" s="25"/>
      <c r="AN116" s="20">
        <f t="shared" si="51"/>
        <v>825065.82499550667</v>
      </c>
      <c r="AO116" s="20">
        <f t="shared" si="52"/>
        <v>908.33134097393486</v>
      </c>
      <c r="AQ116" s="20">
        <f t="shared" si="53"/>
        <v>1.1848679680145867E-4</v>
      </c>
      <c r="AR116" s="20">
        <v>445</v>
      </c>
      <c r="AS116" s="20">
        <f t="shared" si="54"/>
        <v>0.15804763031979657</v>
      </c>
    </row>
    <row r="117" spans="2:45" x14ac:dyDescent="0.3">
      <c r="B117" s="32">
        <v>174</v>
      </c>
      <c r="C117" s="32">
        <v>58022</v>
      </c>
      <c r="D117" s="7">
        <f t="shared" si="40"/>
        <v>447</v>
      </c>
      <c r="E117" s="17">
        <f>1/$E$29-LN($E$29)+($J$16*EXP($J$16/($D$14*$J$15))/(($D$14*$J$15^2)*(1-1.05*($J$17^1.26))))*'F(T,E)'!F97</f>
        <v>5657.2677460061996</v>
      </c>
      <c r="F117" s="17">
        <f>1/$F$29-LN($F$29)+($K$16*EXP($K$16/($D$14*$K$15))/(($D$14*$K$15^2)*(1-1.05*($K$17^1.26))))*'F(T,E)'!G97</f>
        <v>120.65779889257138</v>
      </c>
      <c r="G117" s="17">
        <f>1/$G$29-LN($G$29)+($L$16*EXP($L$16/($D$14*$L$15))/(($D$14*$L$15^2)*(1-1.05*($L$17^1.26))))*'F(T,E)'!H97</f>
        <v>1.1421348174331531</v>
      </c>
      <c r="H117" s="17">
        <f>1/$H$29-LN($H$29)+($M$16*EXP($M$16/($D$14*$M$15))/(($D$14*$M$15^2)*(1-1.05*($M$17^1.26))))*'F(T,E)'!I97</f>
        <v>-11.282219705016752</v>
      </c>
      <c r="I117" s="17">
        <f>1/$I$29-LN($I$29)+($N$16*EXP($N$16/($D$14*$N$15))/(($D$14*$N$15^2)*(1-1.05*($N$17^1.26))))*'F(T,E)'!J97</f>
        <v>-3.9844716397479005</v>
      </c>
      <c r="J117" s="17">
        <f>1/$J$29-LN($J$29)+($O$16*EXP($O$16/($D$14*$O$15))/(($D$14*$O$15^2)*(1-1.05*($O$17^1.26))))*'F(T,E)'!K97</f>
        <v>-1.6524972565252778</v>
      </c>
      <c r="K117" s="17">
        <f>1/$K$29-LN($K$29)+($P$16*EXP($P$16/($D$14*$P$15))/(($D$14*$P$15^2)*(1-1.05*($P$17^1.26))))*'F(T,E)'!L97</f>
        <v>0.30245553604888686</v>
      </c>
      <c r="L117" s="17">
        <f>1/$L$29-LN($L$29)+($Q$16*EXP($Q$16/($D$14*$Q$15))/(($D$14*$Q$15^2)*(1-1.05*($Q$17^1.26))))*'F(T,E)'!M97</f>
        <v>-1.1827776163209853</v>
      </c>
      <c r="M117" s="17">
        <f>1/$M$29-LN($M$29)+($R$16*EXP($R$16/($D$14*$R$15))/(($D$14*$R$15^2)*(1-1.05*($R$17^1.26))))*'F(T,E)'!N97</f>
        <v>234.66456172320562</v>
      </c>
      <c r="N117" s="17">
        <f>1/$N$29-LN($N$29)+($S$16*EXP($S$16/($D$14*$S$15))/(($D$14*$S$15^2)*(1-1.05*($S$17^1.26))))*'F(T,E)'!O97</f>
        <v>-11.512903920454541</v>
      </c>
      <c r="O117" s="25"/>
      <c r="P117" s="20">
        <f t="shared" si="30"/>
        <v>5648.6278133629903</v>
      </c>
      <c r="Q117" s="20">
        <f t="shared" si="31"/>
        <v>115.9050277629855</v>
      </c>
      <c r="R117" s="20">
        <f t="shared" si="32"/>
        <v>1.0723149765412123</v>
      </c>
      <c r="S117" s="20">
        <f t="shared" si="33"/>
        <v>1.2594727301247268E-5</v>
      </c>
      <c r="T117" s="20">
        <f t="shared" si="34"/>
        <v>1.8265573627891399E-2</v>
      </c>
      <c r="U117" s="20">
        <f t="shared" si="35"/>
        <v>0.16279097941602566</v>
      </c>
      <c r="V117" s="20">
        <f t="shared" si="36"/>
        <v>0.6832905878658877</v>
      </c>
      <c r="W117" s="20">
        <f t="shared" si="37"/>
        <v>0.24084094137154782</v>
      </c>
      <c r="X117" s="20">
        <f t="shared" si="38"/>
        <v>229.22983656983109</v>
      </c>
      <c r="Y117" s="20">
        <f t="shared" si="39"/>
        <v>1.0000115444668799E-5</v>
      </c>
      <c r="Z117" s="25"/>
      <c r="AA117" s="20">
        <f t="shared" si="41"/>
        <v>0.14830831216792595</v>
      </c>
      <c r="AB117" s="20">
        <f t="shared" si="42"/>
        <v>10.756469419725121</v>
      </c>
      <c r="AC117" s="20">
        <f t="shared" si="43"/>
        <v>14471.94492936415</v>
      </c>
      <c r="AD117" s="20">
        <f t="shared" si="44"/>
        <v>38245.610441493154</v>
      </c>
      <c r="AE117" s="20">
        <f t="shared" si="45"/>
        <v>4165.8252115632849</v>
      </c>
      <c r="AF117" s="20">
        <f t="shared" si="46"/>
        <v>8.4779744899936968</v>
      </c>
      <c r="AG117" s="20">
        <f t="shared" si="47"/>
        <v>0.182022760612602</v>
      </c>
      <c r="AH117" s="20">
        <f t="shared" si="48"/>
        <v>1.1477383110598681E-3</v>
      </c>
      <c r="AI117" s="20">
        <f t="shared" si="49"/>
        <v>0</v>
      </c>
      <c r="AJ117" s="20">
        <v>50</v>
      </c>
      <c r="AK117" s="25"/>
      <c r="AL117" s="20">
        <f t="shared" si="50"/>
        <v>56952.946505141401</v>
      </c>
      <c r="AM117" s="25"/>
      <c r="AN117" s="20">
        <f t="shared" si="51"/>
        <v>1142875.3748693848</v>
      </c>
      <c r="AO117" s="20">
        <f t="shared" si="52"/>
        <v>1069.0534948585992</v>
      </c>
      <c r="AQ117" s="20">
        <f t="shared" si="53"/>
        <v>1.3945211235294688E-4</v>
      </c>
      <c r="AR117" s="20">
        <v>447</v>
      </c>
      <c r="AS117" s="20">
        <f t="shared" si="54"/>
        <v>0.18424968026931149</v>
      </c>
    </row>
    <row r="118" spans="2:45" x14ac:dyDescent="0.3">
      <c r="B118" s="32">
        <v>175</v>
      </c>
      <c r="C118" s="32">
        <v>59266</v>
      </c>
      <c r="D118" s="7">
        <f t="shared" si="40"/>
        <v>448</v>
      </c>
      <c r="E118" s="17">
        <f>1/$E$29-LN($E$29)+($J$16*EXP($J$16/($D$14*$J$15))/(($D$14*$J$15^2)*(1-1.05*($J$17^1.26))))*'F(T,E)'!F98</f>
        <v>6010.9490352118783</v>
      </c>
      <c r="F118" s="17">
        <f>1/$F$29-LN($F$29)+($K$16*EXP($K$16/($D$14*$K$15))/(($D$14*$K$15^2)*(1-1.05*($K$17^1.26))))*'F(T,E)'!G98</f>
        <v>130.72316294075941</v>
      </c>
      <c r="G118" s="17">
        <f>1/$G$29-LN($G$29)+($L$16*EXP($L$16/($D$14*$L$15))/(($D$14*$L$15^2)*(1-1.05*($L$17^1.26))))*'F(T,E)'!H98</f>
        <v>1.5054816336034569</v>
      </c>
      <c r="H118" s="17">
        <f>1/$H$29-LN($H$29)+($M$16*EXP($M$16/($D$14*$M$15))/(($D$14*$M$15^2)*(1-1.05*($M$17^1.26))))*'F(T,E)'!I98</f>
        <v>-11.258111682633739</v>
      </c>
      <c r="I118" s="17">
        <f>1/$I$29-LN($I$29)+($N$16*EXP($N$16/($D$14*$N$15))/(($D$14*$N$15^2)*(1-1.05*($N$17^1.26))))*'F(T,E)'!J98</f>
        <v>-3.9835223462098788</v>
      </c>
      <c r="J118" s="17">
        <f>1/$J$29-LN($J$29)+($O$16*EXP($O$16/($D$14*$O$15))/(($D$14*$O$15^2)*(1-1.05*($O$17^1.26))))*'F(T,E)'!K98</f>
        <v>-1.6523929572334288</v>
      </c>
      <c r="K118" s="17">
        <f>1/$K$29-LN($K$29)+($P$16*EXP($P$16/($D$14*$P$15))/(($D$14*$P$15^2)*(1-1.05*($P$17^1.26))))*'F(T,E)'!L98</f>
        <v>0.30245730083539235</v>
      </c>
      <c r="L118" s="17">
        <f>1/$L$29-LN($L$29)+($Q$16*EXP($Q$16/($D$14*$Q$15))/(($D$14*$Q$15^2)*(1-1.05*($Q$17^1.26))))*'F(T,E)'!M98</f>
        <v>-1.1827775994688183</v>
      </c>
      <c r="M118" s="17">
        <f>1/$M$29-LN($M$29)+($R$16*EXP($R$16/($D$14*$R$15))/(($D$14*$R$15^2)*(1-1.05*($R$17^1.26))))*'F(T,E)'!N98</f>
        <v>239.9093733968748</v>
      </c>
      <c r="N118" s="17">
        <f>1/$N$29-LN($N$29)+($S$16*EXP($S$16/($D$14*$S$15))/(($D$14*$S$15^2)*(1-1.05*($S$17^1.26))))*'F(T,E)'!O98</f>
        <v>-11.512903757710827</v>
      </c>
      <c r="O118" s="25"/>
      <c r="P118" s="20">
        <f t="shared" si="30"/>
        <v>6002.248421078154</v>
      </c>
      <c r="Q118" s="20">
        <f t="shared" si="31"/>
        <v>125.8877721281105</v>
      </c>
      <c r="R118" s="20">
        <f t="shared" si="32"/>
        <v>1.2680227981424463</v>
      </c>
      <c r="S118" s="20">
        <f t="shared" si="33"/>
        <v>1.2902046901094824E-5</v>
      </c>
      <c r="T118" s="20">
        <f t="shared" si="34"/>
        <v>1.8282609783556076E-2</v>
      </c>
      <c r="U118" s="20">
        <f t="shared" si="35"/>
        <v>0.16280558190182187</v>
      </c>
      <c r="V118" s="20">
        <f t="shared" si="36"/>
        <v>0.68329130423797035</v>
      </c>
      <c r="W118" s="20">
        <f t="shared" si="37"/>
        <v>0.24084094464246811</v>
      </c>
      <c r="X118" s="20">
        <f t="shared" si="38"/>
        <v>234.45212200040805</v>
      </c>
      <c r="Y118" s="20">
        <f t="shared" si="39"/>
        <v>1.000011707210858E-5</v>
      </c>
      <c r="Z118" s="25"/>
      <c r="AA118" s="20">
        <f t="shared" si="41"/>
        <v>0.1389604543503781</v>
      </c>
      <c r="AB118" s="20">
        <f t="shared" si="42"/>
        <v>9.8139910036011209</v>
      </c>
      <c r="AC118" s="20">
        <f t="shared" si="43"/>
        <v>12100.495180195801</v>
      </c>
      <c r="AD118" s="20">
        <f t="shared" si="44"/>
        <v>41056.938630800672</v>
      </c>
      <c r="AE118" s="20">
        <f t="shared" si="45"/>
        <v>4727.7851893548141</v>
      </c>
      <c r="AF118" s="20">
        <f t="shared" si="46"/>
        <v>9.3736520252161046</v>
      </c>
      <c r="AG118" s="20">
        <f t="shared" si="47"/>
        <v>0.20772020675645883</v>
      </c>
      <c r="AH118" s="20">
        <f t="shared" si="48"/>
        <v>1.3173868563287653E-3</v>
      </c>
      <c r="AI118" s="20">
        <f t="shared" si="49"/>
        <v>0</v>
      </c>
      <c r="AJ118" s="20">
        <v>50</v>
      </c>
      <c r="AK118" s="25"/>
      <c r="AL118" s="20">
        <f t="shared" si="50"/>
        <v>57954.754641428066</v>
      </c>
      <c r="AM118" s="25"/>
      <c r="AN118" s="20">
        <f t="shared" si="51"/>
        <v>1719364.3903764398</v>
      </c>
      <c r="AO118" s="20">
        <f t="shared" si="52"/>
        <v>1311.245358571934</v>
      </c>
      <c r="AQ118" s="20">
        <f t="shared" si="53"/>
        <v>1.7104470070512174E-4</v>
      </c>
      <c r="AR118" s="20">
        <v>448</v>
      </c>
      <c r="AS118" s="20">
        <f t="shared" si="54"/>
        <v>0.22124748735732697</v>
      </c>
    </row>
    <row r="119" spans="2:45" x14ac:dyDescent="0.3">
      <c r="B119" s="32">
        <v>177</v>
      </c>
      <c r="C119" s="32">
        <v>61440</v>
      </c>
      <c r="D119" s="7">
        <f t="shared" si="40"/>
        <v>450</v>
      </c>
      <c r="E119" s="17">
        <f>1/$E$29-LN($E$29)+($J$16*EXP($J$16/($D$14*$J$15))/(($D$14*$J$15^2)*(1-1.05*($J$17^1.26))))*'F(T,E)'!F99</f>
        <v>6780.685187572396</v>
      </c>
      <c r="F119" s="17">
        <f>1/$F$29-LN($F$29)+($K$16*EXP($K$16/($D$14*$K$15))/(($D$14*$K$15^2)*(1-1.05*($K$17^1.26))))*'F(T,E)'!G99</f>
        <v>153.18345096184129</v>
      </c>
      <c r="G119" s="17">
        <f>1/$G$29-LN($G$29)+($L$16*EXP($L$16/($D$14*$L$15))/(($D$14*$L$15^2)*(1-1.05*($L$17^1.26))))*'F(T,E)'!H99</f>
        <v>2.3237339172712965</v>
      </c>
      <c r="H119" s="17">
        <f>1/$H$29-LN($H$29)+($M$16*EXP($M$16/($D$14*$M$15))/(($D$14*$M$15^2)*(1-1.05*($M$17^1.26))))*'F(T,E)'!I99</f>
        <v>-11.20247696117444</v>
      </c>
      <c r="I119" s="17">
        <f>1/$I$29-LN($I$29)+($N$16*EXP($N$16/($D$14*$N$15))/(($D$14*$N$15^2)*(1-1.05*($N$17^1.26))))*'F(T,E)'!J99</f>
        <v>-3.9812207122021857</v>
      </c>
      <c r="J119" s="17">
        <f>1/$J$29-LN($J$29)+($O$16*EXP($O$16/($D$14*$O$15))/(($D$14*$O$15^2)*(1-1.05*($O$17^1.26))))*'F(T,E)'!K99</f>
        <v>-1.652150245941673</v>
      </c>
      <c r="K119" s="17">
        <f>1/$K$29-LN($K$29)+($P$16*EXP($P$16/($D$14*$P$15))/(($D$14*$P$15^2)*(1-1.05*($P$17^1.26))))*'F(T,E)'!L99</f>
        <v>0.30246160964880298</v>
      </c>
      <c r="L119" s="17">
        <f>1/$L$29-LN($L$29)+($Q$16*EXP($Q$16/($D$14*$Q$15))/(($D$14*$Q$15^2)*(1-1.05*($Q$17^1.26))))*'F(T,E)'!M99</f>
        <v>-1.1827775579575404</v>
      </c>
      <c r="M119" s="17">
        <f>1/$M$29-LN($M$29)+($R$16*EXP($R$16/($D$14*$R$15))/(($D$14*$R$15^2)*(1-1.05*($R$17^1.26))))*'F(T,E)'!N99</f>
        <v>250.66751924520321</v>
      </c>
      <c r="N119" s="17">
        <f>1/$N$29-LN($N$29)+($S$16*EXP($S$16/($D$14*$S$15))/(($D$14*$S$15^2)*(1-1.05*($S$17^1.26))))*'F(T,E)'!O99</f>
        <v>-11.512903381692537</v>
      </c>
      <c r="O119" s="25"/>
      <c r="P119" s="20">
        <f t="shared" si="30"/>
        <v>6771.8640046483997</v>
      </c>
      <c r="Q119" s="20">
        <f t="shared" si="31"/>
        <v>148.18498953926911</v>
      </c>
      <c r="R119" s="20">
        <f t="shared" si="32"/>
        <v>1.7589926372714151</v>
      </c>
      <c r="S119" s="20">
        <f t="shared" si="33"/>
        <v>1.3640181470400322E-5</v>
      </c>
      <c r="T119" s="20">
        <f t="shared" si="34"/>
        <v>1.8323980039961586E-2</v>
      </c>
      <c r="U119" s="20">
        <f t="shared" si="35"/>
        <v>0.16283956720459999</v>
      </c>
      <c r="V119" s="20">
        <f t="shared" si="36"/>
        <v>0.68329305329766454</v>
      </c>
      <c r="W119" s="20">
        <f t="shared" si="37"/>
        <v>0.24084095269959707</v>
      </c>
      <c r="X119" s="20">
        <f t="shared" si="38"/>
        <v>245.16558540415571</v>
      </c>
      <c r="Y119" s="20">
        <f t="shared" si="39"/>
        <v>1.000012083229861E-5</v>
      </c>
      <c r="Z119" s="25"/>
      <c r="AA119" s="20">
        <f t="shared" si="41"/>
        <v>0.12209873918569042</v>
      </c>
      <c r="AB119" s="20">
        <f t="shared" si="42"/>
        <v>8.1956847449564574</v>
      </c>
      <c r="AC119" s="20">
        <f t="shared" si="43"/>
        <v>8387.8615666888818</v>
      </c>
      <c r="AD119" s="20">
        <f t="shared" si="44"/>
        <v>46905.554381794405</v>
      </c>
      <c r="AE119" s="20">
        <f t="shared" si="45"/>
        <v>6076.5613177570212</v>
      </c>
      <c r="AF119" s="20">
        <f t="shared" si="46"/>
        <v>11.443150205208319</v>
      </c>
      <c r="AG119" s="20">
        <f t="shared" si="47"/>
        <v>0.27003486861834985</v>
      </c>
      <c r="AH119" s="20">
        <f t="shared" si="48"/>
        <v>1.7324309965217246E-3</v>
      </c>
      <c r="AI119" s="20">
        <f t="shared" si="49"/>
        <v>0</v>
      </c>
      <c r="AJ119" s="20">
        <v>50</v>
      </c>
      <c r="AK119" s="25"/>
      <c r="AL119" s="20">
        <f t="shared" si="50"/>
        <v>61440.009967229271</v>
      </c>
      <c r="AM119" s="25"/>
      <c r="AN119" s="20">
        <f t="shared" si="51"/>
        <v>9.9345659337528075E-5</v>
      </c>
      <c r="AO119" s="20">
        <f t="shared" si="52"/>
        <v>9.9672292708419263E-3</v>
      </c>
      <c r="AQ119" s="20">
        <f t="shared" si="53"/>
        <v>1.3001699005800214E-9</v>
      </c>
      <c r="AR119" s="20">
        <v>450</v>
      </c>
      <c r="AS119" s="20">
        <f t="shared" si="54"/>
        <v>-1.6222703891344281E-6</v>
      </c>
    </row>
    <row r="120" spans="2:45" x14ac:dyDescent="0.3">
      <c r="B120" s="32">
        <v>178</v>
      </c>
      <c r="C120" s="32">
        <v>64219</v>
      </c>
      <c r="D120" s="7">
        <f t="shared" si="40"/>
        <v>451</v>
      </c>
      <c r="E120" s="17">
        <f>1/$E$29-LN($E$29)+($J$16*EXP($J$16/($D$14*$J$15))/(($D$14*$J$15^2)*(1-1.05*($J$17^1.26))))*'F(T,E)'!F100</f>
        <v>7198.9543029639663</v>
      </c>
      <c r="F120" s="17">
        <f>1/$F$29-LN($F$29)+($K$16*EXP($K$16/($D$14*$K$15))/(($D$14*$K$15^2)*(1-1.05*($K$17^1.26))))*'F(T,E)'!G100</f>
        <v>165.6887163106683</v>
      </c>
      <c r="G120" s="17">
        <f>1/$G$29-LN($G$29)+($L$16*EXP($L$16/($D$14*$L$15))/(($D$14*$L$15^2)*(1-1.05*($L$17^1.26))))*'F(T,E)'!H100</f>
        <v>2.7833796129013906</v>
      </c>
      <c r="H120" s="17">
        <f>1/$H$29-LN($H$29)+($M$16*EXP($M$16/($D$14*$M$15))/(($D$14*$M$15^2)*(1-1.05*($M$17^1.26))))*'F(T,E)'!I100</f>
        <v>-11.170477837112134</v>
      </c>
      <c r="I120" s="17">
        <f>1/$I$29-LN($I$29)+($N$16*EXP($N$16/($D$14*$N$15))/(($D$14*$N$15^2)*(1-1.05*($N$17^1.26))))*'F(T,E)'!J100</f>
        <v>-3.9798327350161946</v>
      </c>
      <c r="J120" s="17">
        <f>1/$J$29-LN($J$29)+($O$16*EXP($O$16/($D$14*$O$15))/(($D$14*$O$15^2)*(1-1.05*($O$17^1.26))))*'F(T,E)'!K100</f>
        <v>-1.6520095212507664</v>
      </c>
      <c r="K120" s="17">
        <f>1/$K$29-LN($K$29)+($P$16*EXP($P$16/($D$14*$P$15))/(($D$14*$P$15^2)*(1-1.05*($P$17^1.26))))*'F(T,E)'!L100</f>
        <v>0.30246422535563416</v>
      </c>
      <c r="L120" s="17">
        <f>1/$L$29-LN($L$29)+($Q$16*EXP($Q$16/($D$14*$Q$15))/(($D$14*$Q$15^2)*(1-1.05*($Q$17^1.26))))*'F(T,E)'!M100</f>
        <v>-1.1827775325447272</v>
      </c>
      <c r="M120" s="17">
        <f>1/$M$29-LN($M$29)+($R$16*EXP($R$16/($D$14*$R$15))/(($D$14*$R$15^2)*(1-1.05*($R$17^1.26))))*'F(T,E)'!N100</f>
        <v>256.18303882413119</v>
      </c>
      <c r="N120" s="17">
        <f>1/$N$29-LN($N$29)+($S$16*EXP($S$16/($D$14*$S$15))/(($D$14*$S$15^2)*(1-1.05*($S$17^1.26))))*'F(T,E)'!O100</f>
        <v>-11.512903165170354</v>
      </c>
      <c r="O120" s="25"/>
      <c r="P120" s="20">
        <f t="shared" si="30"/>
        <v>7190.0732287789024</v>
      </c>
      <c r="Q120" s="20">
        <f t="shared" si="31"/>
        <v>160.60973887045586</v>
      </c>
      <c r="R120" s="20">
        <f t="shared" si="32"/>
        <v>2.060453505855484</v>
      </c>
      <c r="S120" s="20">
        <f t="shared" si="33"/>
        <v>1.4083707560772507E-5</v>
      </c>
      <c r="T120" s="20">
        <f t="shared" si="34"/>
        <v>1.8348972375376509E-2</v>
      </c>
      <c r="U120" s="20">
        <f t="shared" si="35"/>
        <v>0.16285927477291906</v>
      </c>
      <c r="V120" s="20">
        <f t="shared" si="36"/>
        <v>0.68329411508255622</v>
      </c>
      <c r="W120" s="20">
        <f t="shared" si="37"/>
        <v>0.24084095763209559</v>
      </c>
      <c r="X120" s="20">
        <f t="shared" si="38"/>
        <v>250.65894559148549</v>
      </c>
      <c r="Y120" s="20">
        <f t="shared" si="39"/>
        <v>1.0000122997525185E-5</v>
      </c>
      <c r="Z120" s="25"/>
      <c r="AA120" s="20">
        <f t="shared" si="41"/>
        <v>0.11449940341202886</v>
      </c>
      <c r="AB120" s="20">
        <f t="shared" si="42"/>
        <v>7.5006499904778492</v>
      </c>
      <c r="AC120" s="20">
        <f t="shared" si="43"/>
        <v>6978.0624695572469</v>
      </c>
      <c r="AD120" s="20">
        <f t="shared" si="44"/>
        <v>49894.685057507224</v>
      </c>
      <c r="AE120" s="20">
        <f t="shared" si="45"/>
        <v>6881.5955441486713</v>
      </c>
      <c r="AF120" s="20">
        <f t="shared" si="46"/>
        <v>12.634767221772673</v>
      </c>
      <c r="AG120" s="20">
        <f t="shared" si="47"/>
        <v>0.30761765899426413</v>
      </c>
      <c r="AH120" s="20">
        <f t="shared" si="48"/>
        <v>1.9848681223274094E-3</v>
      </c>
      <c r="AI120" s="20">
        <f t="shared" si="49"/>
        <v>0</v>
      </c>
      <c r="AJ120" s="20">
        <v>50</v>
      </c>
      <c r="AK120" s="25"/>
      <c r="AL120" s="20">
        <f t="shared" si="50"/>
        <v>63824.90259035593</v>
      </c>
      <c r="AM120" s="25"/>
      <c r="AN120" s="20">
        <f t="shared" si="51"/>
        <v>155312.76828816556</v>
      </c>
      <c r="AO120" s="20">
        <f t="shared" si="52"/>
        <v>394.09740964406956</v>
      </c>
      <c r="AQ120" s="20">
        <f t="shared" si="53"/>
        <v>5.140782618643348E-5</v>
      </c>
      <c r="AR120" s="20">
        <v>451</v>
      </c>
      <c r="AS120" s="20">
        <f t="shared" si="54"/>
        <v>6.1367727564127367E-2</v>
      </c>
    </row>
    <row r="121" spans="2:45" x14ac:dyDescent="0.3">
      <c r="B121" s="32">
        <v>180</v>
      </c>
      <c r="C121" s="32">
        <v>67355</v>
      </c>
      <c r="D121" s="7">
        <f t="shared" si="40"/>
        <v>453</v>
      </c>
      <c r="E121" s="17">
        <f>1/$E$29-LN($E$29)+($J$16*EXP($J$16/($D$14*$J$15))/(($D$14*$J$15^2)*(1-1.05*($J$17^1.26))))*'F(T,E)'!F101</f>
        <v>8108.2320690057959</v>
      </c>
      <c r="F121" s="17">
        <f>1/$F$29-LN($F$29)+($K$16*EXP($K$16/($D$14*$K$15))/(($D$14*$K$15^2)*(1-1.05*($K$17^1.26))))*'F(T,E)'!G101</f>
        <v>193.55279104539051</v>
      </c>
      <c r="G121" s="17">
        <f>1/$G$29-LN($G$29)+($L$16*EXP($L$16/($D$14*$L$15))/(($D$14*$L$15^2)*(1-1.05*($L$17^1.26))))*'F(T,E)'!H101</f>
        <v>3.8168585357345921</v>
      </c>
      <c r="H121" s="17">
        <f>1/$H$29-LN($H$29)+($M$16*EXP($M$16/($D$14*$M$15))/(($D$14*$M$15^2)*(1-1.05*($M$17^1.26))))*'F(T,E)'!I101</f>
        <v>-11.096773603316169</v>
      </c>
      <c r="I121" s="17">
        <f>1/$I$29-LN($I$29)+($N$16*EXP($N$16/($D$14*$N$15))/(($D$14*$N$15^2)*(1-1.05*($N$17^1.26))))*'F(T,E)'!J101</f>
        <v>-3.9764761399650741</v>
      </c>
      <c r="J121" s="17">
        <f>1/$J$29-LN($J$29)+($O$16*EXP($O$16/($D$14*$O$15))/(($D$14*$O$15^2)*(1-1.05*($O$17^1.26))))*'F(T,E)'!K101</f>
        <v>-1.6516827075949581</v>
      </c>
      <c r="K121" s="17">
        <f>1/$K$29-LN($K$29)+($P$16*EXP($P$16/($D$14*$P$15))/(($D$14*$P$15^2)*(1-1.05*($P$17^1.26))))*'F(T,E)'!L101</f>
        <v>0.30247059469670329</v>
      </c>
      <c r="L121" s="17">
        <f>1/$L$29-LN($L$29)+($Q$16*EXP($Q$16/($D$14*$Q$15))/(($D$14*$Q$15^2)*(1-1.05*($Q$17^1.26))))*'F(T,E)'!M101</f>
        <v>-1.1827774701208118</v>
      </c>
      <c r="M121" s="17">
        <f>1/$M$29-LN($M$29)+($R$16*EXP($R$16/($D$14*$R$15))/(($D$14*$R$15^2)*(1-1.05*($R$17^1.26))))*'F(T,E)'!N101</f>
        <v>267.49248684859458</v>
      </c>
      <c r="N121" s="17">
        <f>1/$N$29-LN($N$29)+($S$16*EXP($S$16/($D$14*$S$15))/(($D$14*$S$15^2)*(1-1.05*($S$17^1.26))))*'F(T,E)'!O101</f>
        <v>-11.512902665860469</v>
      </c>
      <c r="O121" s="25"/>
      <c r="P121" s="20">
        <f t="shared" si="30"/>
        <v>8099.2319889070886</v>
      </c>
      <c r="Q121" s="20">
        <f t="shared" si="31"/>
        <v>188.31467666974967</v>
      </c>
      <c r="R121" s="20">
        <f t="shared" si="32"/>
        <v>2.7906014055762851</v>
      </c>
      <c r="S121" s="20">
        <f t="shared" si="33"/>
        <v>1.5160931057292232E-5</v>
      </c>
      <c r="T121" s="20">
        <f t="shared" si="34"/>
        <v>1.840955067441136E-2</v>
      </c>
      <c r="U121" s="20">
        <f t="shared" si="35"/>
        <v>0.16290505079089157</v>
      </c>
      <c r="V121" s="20">
        <f t="shared" si="36"/>
        <v>0.68329670057140324</v>
      </c>
      <c r="W121" s="20">
        <f t="shared" si="37"/>
        <v>0.24084096974826227</v>
      </c>
      <c r="X121" s="20">
        <f t="shared" si="38"/>
        <v>261.92443081842873</v>
      </c>
      <c r="Y121" s="20">
        <f t="shared" si="39"/>
        <v>1.0000127990636756E-5</v>
      </c>
      <c r="Z121" s="25"/>
      <c r="AA121" s="20">
        <f t="shared" si="41"/>
        <v>0.10077346930177782</v>
      </c>
      <c r="AB121" s="20">
        <f t="shared" si="42"/>
        <v>6.2994658892235433</v>
      </c>
      <c r="AC121" s="20">
        <f t="shared" si="43"/>
        <v>4855.8459047873293</v>
      </c>
      <c r="AD121" s="20">
        <f t="shared" si="44"/>
        <v>55841.827548501329</v>
      </c>
      <c r="AE121" s="20">
        <f t="shared" si="45"/>
        <v>8805.9446293409455</v>
      </c>
      <c r="AF121" s="20">
        <f t="shared" si="46"/>
        <v>15.3822762676285</v>
      </c>
      <c r="AG121" s="20">
        <f t="shared" si="47"/>
        <v>0.39851448783355892</v>
      </c>
      <c r="AH121" s="20">
        <f t="shared" si="48"/>
        <v>2.6007620231697716E-3</v>
      </c>
      <c r="AI121" s="20">
        <f t="shared" si="49"/>
        <v>0</v>
      </c>
      <c r="AJ121" s="20">
        <v>50</v>
      </c>
      <c r="AK121" s="25"/>
      <c r="AL121" s="20">
        <f t="shared" si="50"/>
        <v>69575.801713505614</v>
      </c>
      <c r="AM121" s="25"/>
      <c r="AN121" s="20">
        <f t="shared" si="51"/>
        <v>4931960.2507094722</v>
      </c>
      <c r="AO121" s="20">
        <f t="shared" si="52"/>
        <v>2220.8017135056143</v>
      </c>
      <c r="AQ121" s="20">
        <f t="shared" si="53"/>
        <v>2.8969129379850583E-4</v>
      </c>
      <c r="AR121" s="20">
        <v>453</v>
      </c>
      <c r="AS121" s="20">
        <f t="shared" si="54"/>
        <v>-0.3297159399459007</v>
      </c>
    </row>
    <row r="122" spans="2:45" x14ac:dyDescent="0.3">
      <c r="B122" s="32">
        <v>181</v>
      </c>
      <c r="C122" s="32">
        <v>71682</v>
      </c>
      <c r="D122" s="7">
        <f t="shared" si="40"/>
        <v>454</v>
      </c>
      <c r="E122" s="17">
        <f>1/$E$29-LN($E$29)+($J$16*EXP($J$16/($D$14*$J$15))/(($D$14*$J$15^2)*(1-1.05*($J$17^1.26))))*'F(T,E)'!F102</f>
        <v>8601.786061275161</v>
      </c>
      <c r="F122" s="17">
        <f>1/$F$29-LN($F$29)+($K$16*EXP($K$16/($D$14*$K$15))/(($D$14*$K$15^2)*(1-1.05*($K$17^1.26))))*'F(T,E)'!G102</f>
        <v>209.04482981145637</v>
      </c>
      <c r="G122" s="17">
        <f>1/$G$29-LN($G$29)+($L$16*EXP($L$16/($D$14*$L$15))/(($D$14*$L$15^2)*(1-1.05*($L$17^1.26))))*'F(T,E)'!H102</f>
        <v>4.3965189953020758</v>
      </c>
      <c r="H122" s="17">
        <f>1/$H$29-LN($H$29)+($M$16*EXP($M$16/($D$14*$M$15))/(($D$14*$M$15^2)*(1-1.05*($M$17^1.26))))*'F(T,E)'!I102</f>
        <v>-11.05445929400301</v>
      </c>
      <c r="I122" s="17">
        <f>1/$I$29-LN($I$29)+($N$16*EXP($N$16/($D$14*$N$15))/(($D$14*$N$15^2)*(1-1.05*($N$17^1.26))))*'F(T,E)'!J102</f>
        <v>-3.9744569309143807</v>
      </c>
      <c r="J122" s="17">
        <f>1/$J$29-LN($J$29)+($O$16*EXP($O$16/($D$14*$O$15))/(($D$14*$O$15^2)*(1-1.05*($O$17^1.26))))*'F(T,E)'!K102</f>
        <v>-1.6514935874204915</v>
      </c>
      <c r="K122" s="17">
        <f>1/$K$29-LN($K$29)+($P$16*EXP($P$16/($D$14*$P$15))/(($D$14*$P$15^2)*(1-1.05*($P$17^1.26))))*'F(T,E)'!L102</f>
        <v>0.30247445147681262</v>
      </c>
      <c r="L122" s="17">
        <f>1/$L$29-LN($L$29)+($Q$16*EXP($Q$16/($D$14*$Q$15))/(($D$14*$Q$15^2)*(1-1.05*($Q$17^1.26))))*'F(T,E)'!M102</f>
        <v>-1.1827774320063793</v>
      </c>
      <c r="M122" s="17">
        <f>1/$M$29-LN($M$29)+($R$16*EXP($R$16/($D$14*$R$15))/(($D$14*$R$15^2)*(1-1.05*($R$17^1.26))))*'F(T,E)'!N102</f>
        <v>273.28864222299848</v>
      </c>
      <c r="N122" s="17">
        <f>1/$N$29-LN($N$29)+($S$16*EXP($S$16/($D$14*$S$15))/(($D$14*$S$15^2)*(1-1.05*($S$17^1.26))))*'F(T,E)'!O102</f>
        <v>-11.51290237887512</v>
      </c>
      <c r="O122" s="25"/>
      <c r="P122" s="20">
        <f t="shared" si="30"/>
        <v>8592.7268627517751</v>
      </c>
      <c r="Q122" s="20">
        <f t="shared" si="31"/>
        <v>203.72804382550757</v>
      </c>
      <c r="R122" s="20">
        <f t="shared" si="32"/>
        <v>3.2254473435084372</v>
      </c>
      <c r="S122" s="20">
        <f t="shared" si="33"/>
        <v>1.5816211332931527E-5</v>
      </c>
      <c r="T122" s="20">
        <f t="shared" si="34"/>
        <v>1.8446086996298929E-2</v>
      </c>
      <c r="U122" s="20">
        <f t="shared" si="35"/>
        <v>0.16293154546120214</v>
      </c>
      <c r="V122" s="20">
        <f t="shared" si="36"/>
        <v>0.68329826614621625</v>
      </c>
      <c r="W122" s="20">
        <f t="shared" si="37"/>
        <v>0.24084097714608133</v>
      </c>
      <c r="X122" s="20">
        <f t="shared" si="38"/>
        <v>267.6987798304562</v>
      </c>
      <c r="Y122" s="20">
        <f t="shared" si="39"/>
        <v>1.0000130860498694E-5</v>
      </c>
      <c r="Z122" s="25"/>
      <c r="AA122" s="20">
        <f t="shared" si="41"/>
        <v>9.457909027743526E-2</v>
      </c>
      <c r="AB122" s="20">
        <f t="shared" si="42"/>
        <v>5.780374951983597</v>
      </c>
      <c r="AC122" s="20">
        <f t="shared" si="43"/>
        <v>4069.8637701590842</v>
      </c>
      <c r="AD122" s="20">
        <f t="shared" si="44"/>
        <v>58718.202528384179</v>
      </c>
      <c r="AE122" s="20">
        <f t="shared" si="45"/>
        <v>9949.7626628643175</v>
      </c>
      <c r="AF122" s="20">
        <f t="shared" si="46"/>
        <v>16.961081694884328</v>
      </c>
      <c r="AG122" s="20">
        <f t="shared" si="47"/>
        <v>0.45319886644141799</v>
      </c>
      <c r="AH122" s="20">
        <f t="shared" si="48"/>
        <v>2.9743858612808205E-3</v>
      </c>
      <c r="AI122" s="20">
        <f t="shared" si="49"/>
        <v>0</v>
      </c>
      <c r="AJ122" s="20">
        <v>50</v>
      </c>
      <c r="AK122" s="25"/>
      <c r="AL122" s="20">
        <f t="shared" si="50"/>
        <v>72811.121170397018</v>
      </c>
      <c r="AM122" s="25"/>
      <c r="AN122" s="20">
        <f t="shared" si="51"/>
        <v>1274914.6174387326</v>
      </c>
      <c r="AO122" s="20">
        <f t="shared" si="52"/>
        <v>1129.1211703970184</v>
      </c>
      <c r="AQ122" s="20">
        <f t="shared" si="53"/>
        <v>1.4728760821751256E-4</v>
      </c>
      <c r="AR122" s="20">
        <v>454</v>
      </c>
      <c r="AS122" s="20">
        <f t="shared" si="54"/>
        <v>-0.15751808967342129</v>
      </c>
    </row>
    <row r="123" spans="2:45" x14ac:dyDescent="0.3">
      <c r="B123" s="32">
        <v>183</v>
      </c>
      <c r="C123" s="32">
        <v>76056</v>
      </c>
      <c r="D123" s="7">
        <f t="shared" si="40"/>
        <v>456</v>
      </c>
      <c r="E123" s="17">
        <f>1/$E$29-LN($E$29)+($J$16*EXP($J$16/($D$14*$J$15))/(($D$14*$J$15^2)*(1-1.05*($J$17^1.26))))*'F(T,E)'!F103</f>
        <v>9673.542560423999</v>
      </c>
      <c r="F123" s="17">
        <f>1/$F$29-LN($F$29)+($K$16*EXP($K$16/($D$14*$K$15))/(($D$14*$K$15^2)*(1-1.05*($K$17^1.26))))*'F(T,E)'!G103</f>
        <v>243.51463143674445</v>
      </c>
      <c r="G123" s="17">
        <f>1/$G$29-LN($G$29)+($L$16*EXP($L$16/($D$14*$L$15))/(($D$14*$L$15^2)*(1-1.05*($L$17^1.26))))*'F(T,E)'!H103</f>
        <v>5.6978217387566872</v>
      </c>
      <c r="H123" s="17">
        <f>1/$H$29-LN($H$29)+($M$16*EXP($M$16/($D$14*$M$15))/(($D$14*$M$15^2)*(1-1.05*($M$17^1.26))))*'F(T,E)'!I103</f>
        <v>-10.957178263231819</v>
      </c>
      <c r="I123" s="17">
        <f>1/$I$29-LN($I$29)+($N$16*EXP($N$16/($D$14*$N$15))/(($D$14*$N$15^2)*(1-1.05*($N$17^1.26))))*'F(T,E)'!J103</f>
        <v>-3.969586121084109</v>
      </c>
      <c r="J123" s="17">
        <f>1/$J$29-LN($J$29)+($O$16*EXP($O$16/($D$14*$O$15))/(($D$14*$O$15^2)*(1-1.05*($O$17^1.26))))*'F(T,E)'!K103</f>
        <v>-1.6510552520149631</v>
      </c>
      <c r="K123" s="17">
        <f>1/$K$29-LN($K$29)+($P$16*EXP($P$16/($D$14*$P$15))/(($D$14*$P$15^2)*(1-1.05*($P$17^1.26))))*'F(T,E)'!L103</f>
        <v>0.30248381832451682</v>
      </c>
      <c r="L123" s="17">
        <f>1/$L$29-LN($L$29)+($Q$16*EXP($Q$16/($D$14*$Q$15))/(($D$14*$Q$15^2)*(1-1.05*($Q$17^1.26))))*'F(T,E)'!M103</f>
        <v>-1.1827773386379834</v>
      </c>
      <c r="M123" s="17">
        <f>1/$M$29-LN($M$29)+($R$16*EXP($R$16/($D$14*$R$15))/(($D$14*$R$15^2)*(1-1.05*($R$17^1.26))))*'F(T,E)'!N103</f>
        <v>285.16943445062549</v>
      </c>
      <c r="N123" s="17">
        <f>1/$N$29-LN($N$29)+($S$16*EXP($S$16/($D$14*$S$15))/(($D$14*$S$15^2)*(1-1.05*($S$17^1.26))))*'F(T,E)'!O103</f>
        <v>-11.512901718322835</v>
      </c>
      <c r="O123" s="25"/>
      <c r="P123" s="20">
        <f t="shared" si="30"/>
        <v>9664.3658848999639</v>
      </c>
      <c r="Q123" s="20">
        <f t="shared" si="31"/>
        <v>238.04218353702623</v>
      </c>
      <c r="R123" s="20">
        <f t="shared" si="32"/>
        <v>4.25073081429779</v>
      </c>
      <c r="S123" s="20">
        <f t="shared" si="33"/>
        <v>1.7432126643303634E-5</v>
      </c>
      <c r="T123" s="20">
        <f t="shared" si="34"/>
        <v>1.853451451503112E-2</v>
      </c>
      <c r="U123" s="20">
        <f t="shared" si="35"/>
        <v>0.16299296802737268</v>
      </c>
      <c r="V123" s="20">
        <f t="shared" si="36"/>
        <v>0.68330206842030106</v>
      </c>
      <c r="W123" s="20">
        <f t="shared" si="37"/>
        <v>0.24084099526841682</v>
      </c>
      <c r="X123" s="20">
        <f t="shared" si="38"/>
        <v>279.53630228351801</v>
      </c>
      <c r="Y123" s="20">
        <f t="shared" si="39"/>
        <v>1.0000137466044108E-5</v>
      </c>
      <c r="Z123" s="25"/>
      <c r="AA123" s="20">
        <f t="shared" si="41"/>
        <v>8.3376365346893647E-2</v>
      </c>
      <c r="AB123" s="20">
        <f t="shared" si="42"/>
        <v>4.8783643188087362</v>
      </c>
      <c r="AC123" s="20">
        <f t="shared" si="43"/>
        <v>2895.0992751667345</v>
      </c>
      <c r="AD123" s="20">
        <f t="shared" si="44"/>
        <v>64028.794156915232</v>
      </c>
      <c r="AE123" s="20">
        <f t="shared" si="45"/>
        <v>12671.134368406858</v>
      </c>
      <c r="AF123" s="20">
        <f t="shared" si="46"/>
        <v>20.593703287713868</v>
      </c>
      <c r="AG123" s="20">
        <f t="shared" si="47"/>
        <v>0.5851171110537865</v>
      </c>
      <c r="AH123" s="20">
        <f t="shared" si="48"/>
        <v>3.8835028227726205E-3</v>
      </c>
      <c r="AI123" s="20">
        <f t="shared" si="49"/>
        <v>0</v>
      </c>
      <c r="AJ123" s="20">
        <v>50</v>
      </c>
      <c r="AK123" s="25"/>
      <c r="AL123" s="20">
        <f t="shared" si="50"/>
        <v>79671.172245074573</v>
      </c>
      <c r="AM123" s="25"/>
      <c r="AN123" s="20">
        <f t="shared" si="51"/>
        <v>13069470.361557528</v>
      </c>
      <c r="AO123" s="20">
        <f t="shared" si="52"/>
        <v>3615.1722450745729</v>
      </c>
      <c r="AQ123" s="20">
        <f t="shared" si="53"/>
        <v>4.7157921331343323E-4</v>
      </c>
      <c r="AR123" s="20">
        <v>456</v>
      </c>
      <c r="AS123" s="20">
        <f t="shared" si="54"/>
        <v>-0.47533031517231683</v>
      </c>
    </row>
    <row r="124" spans="2:45" x14ac:dyDescent="0.3">
      <c r="B124" s="32">
        <v>184</v>
      </c>
      <c r="C124" s="32">
        <v>80880</v>
      </c>
      <c r="D124" s="7">
        <f t="shared" si="40"/>
        <v>457</v>
      </c>
      <c r="E124" s="17">
        <f>1/$E$29-LN($E$29)+($J$16*EXP($J$16/($D$14*$J$15))/(($D$14*$J$15^2)*(1-1.05*($J$17^1.26))))*'F(T,E)'!F104</f>
        <v>10254.665089332571</v>
      </c>
      <c r="F124" s="17">
        <f>1/$F$29-LN($F$29)+($K$16*EXP($K$16/($D$14*$K$15))/(($D$14*$K$15^2)*(1-1.05*($K$17^1.26))))*'F(T,E)'!G104</f>
        <v>262.65283069468654</v>
      </c>
      <c r="G124" s="17">
        <f>1/$G$29-LN($G$29)+($L$16*EXP($L$16/($D$14*$L$15))/(($D$14*$L$15^2)*(1-1.05*($L$17^1.26))))*'F(T,E)'!H104</f>
        <v>6.4266067527779658</v>
      </c>
      <c r="H124" s="17">
        <f>1/$H$29-LN($H$29)+($M$16*EXP($M$16/($D$14*$M$15))/(($D$14*$M$15^2)*(1-1.05*($M$17^1.26))))*'F(T,E)'!I104</f>
        <v>-10.901428739361052</v>
      </c>
      <c r="I124" s="17">
        <f>1/$I$29-LN($I$29)+($N$16*EXP($N$16/($D$14*$N$15))/(($D$14*$N$15^2)*(1-1.05*($N$17^1.26))))*'F(T,E)'!J104</f>
        <v>-3.9666630429580643</v>
      </c>
      <c r="J124" s="17">
        <f>1/$J$29-LN($J$29)+($O$16*EXP($O$16/($D$14*$O$15))/(($D$14*$O$15^2)*(1-1.05*($O$17^1.26))))*'F(T,E)'!K104</f>
        <v>-1.6508020786807205</v>
      </c>
      <c r="K124" s="17">
        <f>1/$K$29-LN($K$29)+($P$16*EXP($P$16/($D$14*$P$15))/(($D$14*$P$15^2)*(1-1.05*($P$17^1.26))))*'F(T,E)'!L104</f>
        <v>0.30248947608009802</v>
      </c>
      <c r="L124" s="17">
        <f>1/$L$29-LN($L$29)+($Q$16*EXP($Q$16/($D$14*$Q$15))/(($D$14*$Q$15^2)*(1-1.05*($Q$17^1.26))))*'F(T,E)'!M104</f>
        <v>-1.1827772817772551</v>
      </c>
      <c r="M124" s="17">
        <f>1/$M$29-LN($M$29)+($R$16*EXP($R$16/($D$14*$R$15))/(($D$14*$R$15^2)*(1-1.05*($R$17^1.26))))*'F(T,E)'!N104</f>
        <v>291.2563392581813</v>
      </c>
      <c r="N124" s="17">
        <f>1/$N$29-LN($N$29)+($S$16*EXP($S$16/($D$14*$S$15))/(($D$14*$S$15^2)*(1-1.05*($S$17^1.26))))*'F(T,E)'!O104</f>
        <v>-11.512901339349588</v>
      </c>
      <c r="O124" s="25"/>
      <c r="P124" s="20">
        <f t="shared" si="30"/>
        <v>10245.430051627542</v>
      </c>
      <c r="Q124" s="20">
        <f t="shared" si="31"/>
        <v>257.10335254066825</v>
      </c>
      <c r="R124" s="20">
        <f t="shared" si="32"/>
        <v>4.8480335779003729</v>
      </c>
      <c r="S124" s="20">
        <f t="shared" si="33"/>
        <v>1.8431541095889436E-5</v>
      </c>
      <c r="T124" s="20">
        <f t="shared" si="34"/>
        <v>1.858778146835809E-2</v>
      </c>
      <c r="U124" s="20">
        <f t="shared" si="35"/>
        <v>0.1630284534830416</v>
      </c>
      <c r="V124" s="20">
        <f t="shared" si="36"/>
        <v>0.68330436507282921</v>
      </c>
      <c r="W124" s="20">
        <f t="shared" si="37"/>
        <v>0.24084100630479832</v>
      </c>
      <c r="X124" s="20">
        <f t="shared" si="38"/>
        <v>285.60174093203403</v>
      </c>
      <c r="Y124" s="20">
        <f t="shared" si="39"/>
        <v>1.0000141255791499E-5</v>
      </c>
      <c r="Z124" s="25"/>
      <c r="AA124" s="20">
        <f t="shared" si="41"/>
        <v>7.8314102842301725E-2</v>
      </c>
      <c r="AB124" s="20">
        <f t="shared" si="42"/>
        <v>4.4865204527893301</v>
      </c>
      <c r="AC124" s="20">
        <f t="shared" si="43"/>
        <v>2458.7018053166421</v>
      </c>
      <c r="AD124" s="20">
        <f t="shared" si="44"/>
        <v>66347.88929168343</v>
      </c>
      <c r="AE124" s="20">
        <f t="shared" si="45"/>
        <v>14280.83409937561</v>
      </c>
      <c r="AF124" s="20">
        <f t="shared" si="46"/>
        <v>22.676873669926351</v>
      </c>
      <c r="AG124" s="20">
        <f t="shared" si="47"/>
        <v>0.6642862215086166</v>
      </c>
      <c r="AH124" s="20">
        <f t="shared" si="48"/>
        <v>4.4336009903402354E-3</v>
      </c>
      <c r="AI124" s="20">
        <f t="shared" si="49"/>
        <v>0</v>
      </c>
      <c r="AJ124" s="20">
        <v>50</v>
      </c>
      <c r="AK124" s="25"/>
      <c r="AL124" s="20">
        <f t="shared" si="50"/>
        <v>83165.335624423751</v>
      </c>
      <c r="AM124" s="25"/>
      <c r="AN124" s="20">
        <f t="shared" si="51"/>
        <v>5222758.9162602965</v>
      </c>
      <c r="AO124" s="20">
        <f t="shared" si="52"/>
        <v>2285.3356244237511</v>
      </c>
      <c r="AQ124" s="20">
        <f t="shared" si="53"/>
        <v>2.9810938535258791E-4</v>
      </c>
      <c r="AR124" s="20">
        <v>457</v>
      </c>
      <c r="AS124" s="20">
        <f t="shared" si="54"/>
        <v>-0.28255880618493462</v>
      </c>
    </row>
    <row r="125" spans="2:45" x14ac:dyDescent="0.3">
      <c r="B125" s="32">
        <v>186</v>
      </c>
      <c r="C125" s="32">
        <v>85404</v>
      </c>
      <c r="D125" s="7">
        <f t="shared" si="40"/>
        <v>459</v>
      </c>
      <c r="E125" s="17">
        <f>1/$E$29-LN($E$29)+($J$16*EXP($J$16/($D$14*$J$15))/(($D$14*$J$15^2)*(1-1.05*($J$17^1.26))))*'F(T,E)'!F105</f>
        <v>11515.212848068604</v>
      </c>
      <c r="F125" s="17">
        <f>1/$F$29-LN($F$29)+($K$16*EXP($K$16/($D$14*$K$15))/(($D$14*$K$15^2)*(1-1.05*($K$17^1.26))))*'F(T,E)'!G105</f>
        <v>305.17565042808627</v>
      </c>
      <c r="G125" s="17">
        <f>1/$G$29-LN($G$29)+($L$16*EXP($L$16/($D$14*$L$15))/(($D$14*$L$15^2)*(1-1.05*($L$17^1.26))))*'F(T,E)'!H105</f>
        <v>8.0601990081359745</v>
      </c>
      <c r="H125" s="17">
        <f>1/$H$29-LN($H$29)+($M$16*EXP($M$16/($D$14*$M$15))/(($D$14*$M$15^2)*(1-1.05*($M$17^1.26))))*'F(T,E)'!I105</f>
        <v>-10.773495103771758</v>
      </c>
      <c r="I125" s="17">
        <f>1/$I$29-LN($I$29)+($N$16*EXP($N$16/($D$14*$N$15))/(($D$14*$N$15^2)*(1-1.05*($N$17^1.26))))*'F(T,E)'!J105</f>
        <v>-3.9596293181639841</v>
      </c>
      <c r="J125" s="17">
        <f>1/$J$29-LN($J$29)+($O$16*EXP($O$16/($D$14*$O$15))/(($D$14*$O$15^2)*(1-1.05*($O$17^1.26))))*'F(T,E)'!K105</f>
        <v>-1.6502164227873486</v>
      </c>
      <c r="K125" s="17">
        <f>1/$K$29-LN($K$29)+($P$16*EXP($P$16/($D$14*$P$15))/(($D$14*$P$15^2)*(1-1.05*($P$17^1.26))))*'F(T,E)'!L105</f>
        <v>0.30250318169430485</v>
      </c>
      <c r="L125" s="17">
        <f>1/$L$29-LN($L$29)+($Q$16*EXP($Q$16/($D$14*$Q$15))/(($D$14*$Q$15^2)*(1-1.05*($Q$17^1.26))))*'F(T,E)'!M105</f>
        <v>-1.1827771428592093</v>
      </c>
      <c r="M125" s="17">
        <f>1/$M$29-LN($M$29)+($R$16*EXP($R$16/($D$14*$R$15))/(($D$14*$R$15^2)*(1-1.05*($R$17^1.26))))*'F(T,E)'!N105</f>
        <v>303.72888692299028</v>
      </c>
      <c r="N125" s="17">
        <f>1/$N$29-LN($N$29)+($S$16*EXP($S$16/($D$14*$S$15))/(($D$14*$S$15^2)*(1-1.05*($S$17^1.26))))*'F(T,E)'!O105</f>
        <v>-11.512900468682799</v>
      </c>
      <c r="O125" s="25"/>
      <c r="P125" s="20">
        <f t="shared" si="30"/>
        <v>11505.861829818627</v>
      </c>
      <c r="Q125" s="20">
        <f t="shared" si="31"/>
        <v>299.47362408091664</v>
      </c>
      <c r="R125" s="20">
        <f t="shared" si="32"/>
        <v>6.2307088945609435</v>
      </c>
      <c r="S125" s="20">
        <f t="shared" si="33"/>
        <v>2.0946980502298171E-5</v>
      </c>
      <c r="T125" s="20">
        <f t="shared" si="34"/>
        <v>1.8716572995713512E-2</v>
      </c>
      <c r="U125" s="20">
        <f t="shared" si="35"/>
        <v>0.16311056604543439</v>
      </c>
      <c r="V125" s="20">
        <f t="shared" si="36"/>
        <v>0.68330992861134132</v>
      </c>
      <c r="W125" s="20">
        <f t="shared" si="37"/>
        <v>0.24084103326809442</v>
      </c>
      <c r="X125" s="20">
        <f t="shared" si="38"/>
        <v>298.03168710955538</v>
      </c>
      <c r="Y125" s="20">
        <f t="shared" si="39"/>
        <v>1.0000149962499091E-5</v>
      </c>
      <c r="Z125" s="25"/>
      <c r="AA125" s="20">
        <f t="shared" si="41"/>
        <v>6.9147368412209406E-2</v>
      </c>
      <c r="AB125" s="20">
        <f t="shared" si="42"/>
        <v>3.8024654606129697</v>
      </c>
      <c r="AC125" s="20">
        <f t="shared" si="43"/>
        <v>1798.8772080232213</v>
      </c>
      <c r="AD125" s="20">
        <f t="shared" si="44"/>
        <v>69996.247842208453</v>
      </c>
      <c r="AE125" s="20">
        <f t="shared" si="45"/>
        <v>18089.169898687276</v>
      </c>
      <c r="AF125" s="20">
        <f t="shared" si="46"/>
        <v>27.459866694594364</v>
      </c>
      <c r="AG125" s="20">
        <f t="shared" si="47"/>
        <v>0.85478879012028375</v>
      </c>
      <c r="AH125" s="20">
        <f t="shared" si="48"/>
        <v>5.7686008560297371E-3</v>
      </c>
      <c r="AI125" s="20">
        <f t="shared" si="49"/>
        <v>0</v>
      </c>
      <c r="AJ125" s="20">
        <v>50</v>
      </c>
      <c r="AK125" s="25"/>
      <c r="AL125" s="20">
        <f t="shared" si="50"/>
        <v>89966.486985833544</v>
      </c>
      <c r="AM125" s="25"/>
      <c r="AN125" s="20">
        <f t="shared" si="51"/>
        <v>20816287.49590046</v>
      </c>
      <c r="AO125" s="20">
        <f t="shared" si="52"/>
        <v>4562.4869858335442</v>
      </c>
      <c r="AQ125" s="20">
        <f t="shared" si="53"/>
        <v>5.9515117888602224E-4</v>
      </c>
      <c r="AR125" s="20">
        <v>459</v>
      </c>
      <c r="AS125" s="20">
        <f t="shared" si="54"/>
        <v>-0.53422403936976537</v>
      </c>
    </row>
    <row r="126" spans="2:45" x14ac:dyDescent="0.3">
      <c r="B126" s="32">
        <v>187</v>
      </c>
      <c r="C126" s="32">
        <v>90470</v>
      </c>
      <c r="D126" s="7">
        <f t="shared" si="40"/>
        <v>460</v>
      </c>
      <c r="E126" s="17">
        <f>1/$E$29-LN($E$29)+($J$16*EXP($J$16/($D$14*$J$15))/(($D$14*$J$15^2)*(1-1.05*($J$17^1.26))))*'F(T,E)'!F106</f>
        <v>12197.98129813549</v>
      </c>
      <c r="F126" s="17">
        <f>1/$F$29-LN($F$29)+($K$16*EXP($K$16/($D$14*$K$15))/(($D$14*$K$15^2)*(1-1.05*($K$17^1.26))))*'F(T,E)'!G106</f>
        <v>328.75296585573005</v>
      </c>
      <c r="G126" s="17">
        <f>1/$G$29-LN($G$29)+($L$16*EXP($L$16/($D$14*$L$15))/(($D$14*$L$15^2)*(1-1.05*($L$17^1.26))))*'F(T,E)'!H106</f>
        <v>8.9737365707244479</v>
      </c>
      <c r="H126" s="17">
        <f>1/$H$29-LN($H$29)+($M$16*EXP($M$16/($D$14*$M$15))/(($D$14*$M$15^2)*(1-1.05*($M$17^1.26))))*'F(T,E)'!I106</f>
        <v>-10.700308591801022</v>
      </c>
      <c r="I126" s="17">
        <f>1/$I$29-LN($I$29)+($N$16*EXP($N$16/($D$14*$N$15))/(($D$14*$N$15^2)*(1-1.05*($N$17^1.26))))*'F(T,E)'!J106</f>
        <v>-3.9554181590627278</v>
      </c>
      <c r="J126" s="17">
        <f>1/$J$29-LN($J$29)+($O$16*EXP($O$16/($D$14*$O$15))/(($D$14*$O$15^2)*(1-1.05*($O$17^1.26))))*'F(T,E)'!K106</f>
        <v>-1.6498787907466343</v>
      </c>
      <c r="K126" s="17">
        <f>1/$K$29-LN($K$29)+($P$16*EXP($P$16/($D$14*$P$15))/(($D$14*$P$15^2)*(1-1.05*($P$17^1.26))))*'F(T,E)'!L106</f>
        <v>0.30251143998912505</v>
      </c>
      <c r="L126" s="17">
        <f>1/$L$29-LN($L$29)+($Q$16*EXP($Q$16/($D$14*$Q$15))/(($D$14*$Q$15^2)*(1-1.05*($Q$17^1.26))))*'F(T,E)'!M106</f>
        <v>-1.1827770584738824</v>
      </c>
      <c r="M126" s="17">
        <f>1/$M$29-LN($M$29)+($R$16*EXP($R$16/($D$14*$R$15))/(($D$14*$R$15^2)*(1-1.05*($R$17^1.26))))*'F(T,E)'!N106</f>
        <v>310.11683822761904</v>
      </c>
      <c r="N126" s="17">
        <f>1/$N$29-LN($N$29)+($S$16*EXP($S$16/($D$14*$S$15))/(($D$14*$S$15^2)*(1-1.05*($S$17^1.26))))*'F(T,E)'!O106</f>
        <v>-11.512899970050535</v>
      </c>
      <c r="O126" s="25"/>
      <c r="P126" s="20">
        <f t="shared" si="30"/>
        <v>12188.572658065452</v>
      </c>
      <c r="Q126" s="20">
        <f t="shared" si="31"/>
        <v>322.97538972820217</v>
      </c>
      <c r="R126" s="20">
        <f t="shared" si="32"/>
        <v>7.0243534021406999</v>
      </c>
      <c r="S126" s="20">
        <f t="shared" si="33"/>
        <v>2.2537473860120171E-5</v>
      </c>
      <c r="T126" s="20">
        <f t="shared" si="34"/>
        <v>1.8794100537291771E-2</v>
      </c>
      <c r="U126" s="20">
        <f t="shared" si="35"/>
        <v>0.16315792029316856</v>
      </c>
      <c r="V126" s="20">
        <f t="shared" si="36"/>
        <v>0.68331328092511989</v>
      </c>
      <c r="W126" s="20">
        <f t="shared" si="37"/>
        <v>0.24084104964686442</v>
      </c>
      <c r="X126" s="20">
        <f t="shared" si="38"/>
        <v>304.39850052763694</v>
      </c>
      <c r="Y126" s="20">
        <f t="shared" si="39"/>
        <v>1.000015494884789E-5</v>
      </c>
      <c r="Z126" s="25"/>
      <c r="AA126" s="20">
        <f t="shared" si="41"/>
        <v>6.499987872876796E-2</v>
      </c>
      <c r="AB126" s="20">
        <f t="shared" si="42"/>
        <v>3.5039776488025796</v>
      </c>
      <c r="AC126" s="20">
        <f t="shared" si="43"/>
        <v>1549.563332541692</v>
      </c>
      <c r="AD126" s="20">
        <f t="shared" si="44"/>
        <v>71193.040002490801</v>
      </c>
      <c r="AE126" s="20">
        <f t="shared" si="45"/>
        <v>20328.484980464</v>
      </c>
      <c r="AF126" s="20">
        <f t="shared" si="46"/>
        <v>30.197092673450307</v>
      </c>
      <c r="AG126" s="20">
        <f t="shared" si="47"/>
        <v>0.96884209925800757</v>
      </c>
      <c r="AH126" s="20">
        <f t="shared" si="48"/>
        <v>6.5743778888927061E-3</v>
      </c>
      <c r="AI126" s="20">
        <f t="shared" si="49"/>
        <v>0</v>
      </c>
      <c r="AJ126" s="20">
        <v>50</v>
      </c>
      <c r="AK126" s="25"/>
      <c r="AL126" s="20">
        <f t="shared" si="50"/>
        <v>93155.829802174616</v>
      </c>
      <c r="AM126" s="25"/>
      <c r="AN126" s="20">
        <f t="shared" si="51"/>
        <v>7213681.7262493363</v>
      </c>
      <c r="AO126" s="20">
        <f t="shared" si="52"/>
        <v>2685.8298021746159</v>
      </c>
      <c r="AQ126" s="20">
        <f t="shared" si="53"/>
        <v>3.5035163453938072E-4</v>
      </c>
      <c r="AR126" s="20">
        <v>460</v>
      </c>
      <c r="AS126" s="20">
        <f t="shared" si="54"/>
        <v>-0.29687518538461544</v>
      </c>
    </row>
    <row r="127" spans="2:45" x14ac:dyDescent="0.3">
      <c r="B127" s="32">
        <v>188</v>
      </c>
      <c r="C127" s="32">
        <v>95576</v>
      </c>
      <c r="D127" s="7">
        <f t="shared" si="40"/>
        <v>461</v>
      </c>
      <c r="E127" s="17">
        <f>1/$E$29-LN($E$29)+($J$16*EXP($J$16/($D$14*$J$15))/(($D$14*$J$15^2)*(1-1.05*($J$17^1.26))))*'F(T,E)'!F107</f>
        <v>12918.102753601454</v>
      </c>
      <c r="F127" s="17">
        <f>1/$F$29-LN($F$29)+($K$16*EXP($K$16/($D$14*$K$15))/(($D$14*$K$15^2)*(1-1.05*($K$17^1.26))))*'F(T,E)'!G107</f>
        <v>354.01275214942547</v>
      </c>
      <c r="G127" s="17">
        <f>1/$G$29-LN($G$29)+($L$16*EXP($L$16/($D$14*$L$15))/(($D$14*$L$15^2)*(1-1.05*($L$17^1.26))))*'F(T,E)'!H107</f>
        <v>9.9580902509943758</v>
      </c>
      <c r="H127" s="17">
        <f>1/$H$29-LN($H$29)+($M$16*EXP($M$16/($D$14*$M$15))/(($D$14*$M$15^2)*(1-1.05*($M$17^1.26))))*'F(T,E)'!I107</f>
        <v>-10.620235720718759</v>
      </c>
      <c r="I127" s="17">
        <f>1/$I$29-LN($I$29)+($N$16*EXP($N$16/($D$14*$N$15))/(($D$14*$N$15^2)*(1-1.05*($N$17^1.26))))*'F(T,E)'!J107</f>
        <v>-3.9506670360504721</v>
      </c>
      <c r="J127" s="17">
        <f>1/$J$29-LN($J$29)+($O$16*EXP($O$16/($D$14*$O$15))/(($D$14*$O$15^2)*(1-1.05*($O$17^1.26))))*'F(T,E)'!K107</f>
        <v>-1.6495074634927431</v>
      </c>
      <c r="K127" s="17">
        <f>1/$K$29-LN($K$29)+($P$16*EXP($P$16/($D$14*$P$15))/(($D$14*$P$15^2)*(1-1.05*($P$17^1.26))))*'F(T,E)'!L107</f>
        <v>0.30252079756904582</v>
      </c>
      <c r="L127" s="17">
        <f>1/$L$29-LN($L$29)+($Q$16*EXP($Q$16/($D$14*$Q$15))/(($D$14*$Q$15^2)*(1-1.05*($Q$17^1.26))))*'F(T,E)'!M107</f>
        <v>-1.1827769623299222</v>
      </c>
      <c r="M127" s="17">
        <f>1/$M$29-LN($M$29)+($R$16*EXP($R$16/($D$14*$R$15))/(($D$14*$R$15^2)*(1-1.05*($R$17^1.26))))*'F(T,E)'!N107</f>
        <v>316.6074579514667</v>
      </c>
      <c r="N127" s="17">
        <f>1/$N$29-LN($N$29)+($S$16*EXP($S$16/($D$14*$S$15))/(($D$14*$S$15^2)*(1-1.05*($S$17^1.26))))*'F(T,E)'!O107</f>
        <v>-11.512899424092579</v>
      </c>
      <c r="O127" s="25"/>
      <c r="P127" s="20">
        <f t="shared" si="30"/>
        <v>12908.636735080567</v>
      </c>
      <c r="Q127" s="20">
        <f t="shared" si="31"/>
        <v>348.16008974742158</v>
      </c>
      <c r="R127" s="20">
        <f t="shared" si="32"/>
        <v>7.8922135980630301</v>
      </c>
      <c r="S127" s="20">
        <f t="shared" si="33"/>
        <v>2.4416287276834812E-5</v>
      </c>
      <c r="T127" s="20">
        <f t="shared" si="34"/>
        <v>1.8881947287826974E-2</v>
      </c>
      <c r="U127" s="20">
        <f t="shared" si="35"/>
        <v>0.16321001407685279</v>
      </c>
      <c r="V127" s="20">
        <f t="shared" si="36"/>
        <v>0.68331707948672327</v>
      </c>
      <c r="W127" s="20">
        <f t="shared" si="37"/>
        <v>0.24084106830792743</v>
      </c>
      <c r="X127" s="20">
        <f t="shared" si="38"/>
        <v>310.86808927949136</v>
      </c>
      <c r="Y127" s="20">
        <f t="shared" si="39"/>
        <v>1.0000160408458942E-5</v>
      </c>
      <c r="Z127" s="25"/>
      <c r="AA127" s="20">
        <f t="shared" si="41"/>
        <v>6.1116853061739917E-2</v>
      </c>
      <c r="AB127" s="20">
        <f t="shared" si="42"/>
        <v>3.2308854358380983</v>
      </c>
      <c r="AC127" s="20">
        <f t="shared" si="43"/>
        <v>1340.8551528539367</v>
      </c>
      <c r="AD127" s="20">
        <f t="shared" si="44"/>
        <v>71885.247412364784</v>
      </c>
      <c r="AE127" s="20">
        <f t="shared" si="45"/>
        <v>22820.709447335736</v>
      </c>
      <c r="AF127" s="20">
        <f t="shared" si="46"/>
        <v>33.192337671502379</v>
      </c>
      <c r="AG127" s="20">
        <f t="shared" si="47"/>
        <v>1.0975158243212333</v>
      </c>
      <c r="AH127" s="20">
        <f t="shared" si="48"/>
        <v>7.4884593957038779E-3</v>
      </c>
      <c r="AI127" s="20">
        <f t="shared" si="49"/>
        <v>0</v>
      </c>
      <c r="AJ127" s="20">
        <v>50</v>
      </c>
      <c r="AK127" s="25"/>
      <c r="AL127" s="20">
        <f t="shared" si="50"/>
        <v>96134.401356798568</v>
      </c>
      <c r="AM127" s="25"/>
      <c r="AN127" s="20">
        <f t="shared" si="51"/>
        <v>311812.07527448115</v>
      </c>
      <c r="AO127" s="20">
        <f t="shared" si="52"/>
        <v>558.40135679856758</v>
      </c>
      <c r="AQ127" s="20">
        <f t="shared" si="53"/>
        <v>7.2840366848631388E-5</v>
      </c>
      <c r="AR127" s="20">
        <v>461</v>
      </c>
      <c r="AS127" s="20">
        <f t="shared" si="54"/>
        <v>-5.842485109217456E-2</v>
      </c>
    </row>
    <row r="128" spans="2:45" x14ac:dyDescent="0.3">
      <c r="B128" s="32">
        <v>190</v>
      </c>
      <c r="C128" s="32">
        <v>99586</v>
      </c>
      <c r="D128" s="7">
        <f t="shared" si="40"/>
        <v>463</v>
      </c>
      <c r="E128" s="17">
        <f>1/$E$29-LN($E$29)+($J$16*EXP($J$16/($D$14*$J$15))/(($D$14*$J$15^2)*(1-1.05*($J$17^1.26))))*'F(T,E)'!F108</f>
        <v>14477.961005385794</v>
      </c>
      <c r="F128" s="17">
        <f>1/$F$29-LN($F$29)+($K$16*EXP($K$16/($D$14*$K$15))/(($D$14*$K$15^2)*(1-1.05*($K$17^1.26))))*'F(T,E)'!G108</f>
        <v>410.03453195231828</v>
      </c>
      <c r="G128" s="17">
        <f>1/$G$29-LN($G$29)+($L$16*EXP($L$16/($D$14*$L$15))/(($D$14*$L$15^2)*(1-1.05*($L$17^1.26))))*'F(T,E)'!H108</f>
        <v>12.160179614399004</v>
      </c>
      <c r="H128" s="17">
        <f>1/$H$29-LN($H$29)+($M$16*EXP($M$16/($D$14*$M$15))/(($D$14*$M$15^2)*(1-1.05*($M$17^1.26))))*'F(T,E)'!I108</f>
        <v>-10.43692401195154</v>
      </c>
      <c r="I128" s="17">
        <f>1/$I$29-LN($I$29)+($N$16*EXP($N$16/($D$14*$N$15))/(($D$14*$N$15^2)*(1-1.05*($N$17^1.26))))*'F(T,E)'!J108</f>
        <v>-3.9392713395016732</v>
      </c>
      <c r="J128" s="17">
        <f>1/$J$29-LN($J$29)+($O$16*EXP($O$16/($D$14*$O$15))/(($D$14*$O$15^2)*(1-1.05*($O$17^1.26))))*'F(T,E)'!K108</f>
        <v>-1.648650659183281</v>
      </c>
      <c r="K128" s="17">
        <f>1/$K$29-LN($K$29)+($P$16*EXP($P$16/($D$14*$P$15))/(($D$14*$P$15^2)*(1-1.05*($P$17^1.26))))*'F(T,E)'!L108</f>
        <v>0.30254339017422438</v>
      </c>
      <c r="L128" s="17">
        <f>1/$L$29-LN($L$29)+($Q$16*EXP($Q$16/($D$14*$Q$15))/(($D$14*$Q$15^2)*(1-1.05*($Q$17^1.26))))*'F(T,E)'!M108</f>
        <v>-1.1827767282567327</v>
      </c>
      <c r="M128" s="17">
        <f>1/$M$29-LN($M$29)+($R$16*EXP($R$16/($D$14*$R$15))/(($D$14*$R$15^2)*(1-1.05*($R$17^1.26))))*'F(T,E)'!N108</f>
        <v>329.90139280186548</v>
      </c>
      <c r="N128" s="17">
        <f>1/$N$29-LN($N$29)+($S$16*EXP($S$16/($D$14*$S$15))/(($D$14*$S$15^2)*(1-1.05*($S$17^1.26))))*'F(T,E)'!O108</f>
        <v>-11.512898172810862</v>
      </c>
      <c r="O128" s="25"/>
      <c r="P128" s="20">
        <f t="shared" si="30"/>
        <v>14468.380953405229</v>
      </c>
      <c r="Q128" s="20">
        <f t="shared" si="31"/>
        <v>404.03303530713794</v>
      </c>
      <c r="R128" s="20">
        <f t="shared" si="32"/>
        <v>9.8706172272226986</v>
      </c>
      <c r="S128" s="20">
        <f t="shared" si="33"/>
        <v>2.9328426035974034E-5</v>
      </c>
      <c r="T128" s="20">
        <f t="shared" si="34"/>
        <v>1.909429584585012E-2</v>
      </c>
      <c r="U128" s="20">
        <f t="shared" si="35"/>
        <v>0.16333027037068298</v>
      </c>
      <c r="V128" s="20">
        <f t="shared" si="36"/>
        <v>0.683326250649258</v>
      </c>
      <c r="W128" s="20">
        <f t="shared" si="37"/>
        <v>0.24084111374037057</v>
      </c>
      <c r="X128" s="20">
        <f t="shared" si="38"/>
        <v>324.12027812617703</v>
      </c>
      <c r="Y128" s="20">
        <f t="shared" si="39"/>
        <v>1.0000172921359519E-5</v>
      </c>
      <c r="Z128" s="25"/>
      <c r="AA128" s="20">
        <f t="shared" si="41"/>
        <v>5.4074080516226287E-2</v>
      </c>
      <c r="AB128" s="20">
        <f t="shared" si="42"/>
        <v>2.751663332212769</v>
      </c>
      <c r="AC128" s="20">
        <f t="shared" si="43"/>
        <v>1016.956447481924</v>
      </c>
      <c r="AD128" s="20">
        <f t="shared" si="44"/>
        <v>71528.362139178964</v>
      </c>
      <c r="AE128" s="20">
        <f t="shared" si="45"/>
        <v>28660.107038293587</v>
      </c>
      <c r="AF128" s="20">
        <f t="shared" si="46"/>
        <v>40.049800371346223</v>
      </c>
      <c r="AG128" s="20">
        <f t="shared" si="47"/>
        <v>1.4061222777403186</v>
      </c>
      <c r="AH128" s="20">
        <f t="shared" si="48"/>
        <v>9.6991889920601954E-3</v>
      </c>
      <c r="AI128" s="20">
        <f t="shared" si="49"/>
        <v>0</v>
      </c>
      <c r="AJ128" s="20">
        <v>50</v>
      </c>
      <c r="AK128" s="25"/>
      <c r="AL128" s="20">
        <f t="shared" si="50"/>
        <v>101299.69698420528</v>
      </c>
      <c r="AM128" s="25"/>
      <c r="AN128" s="20">
        <f t="shared" si="51"/>
        <v>2936757.353674267</v>
      </c>
      <c r="AO128" s="20">
        <f t="shared" si="52"/>
        <v>1713.6969842052786</v>
      </c>
      <c r="AQ128" s="20">
        <f t="shared" si="53"/>
        <v>2.2354228813583349E-4</v>
      </c>
      <c r="AR128" s="20">
        <v>463</v>
      </c>
      <c r="AS128" s="20">
        <f t="shared" si="54"/>
        <v>-0.17208211839066523</v>
      </c>
    </row>
    <row r="129" spans="2:45" x14ac:dyDescent="0.3">
      <c r="B129" s="32">
        <v>191</v>
      </c>
      <c r="C129" s="32">
        <v>103558</v>
      </c>
      <c r="D129" s="7">
        <f t="shared" si="40"/>
        <v>464</v>
      </c>
      <c r="E129" s="17">
        <f>1/$E$29-LN($E$29)+($J$16*EXP($J$16/($D$14*$J$15))/(($D$14*$J$15^2)*(1-1.05*($J$17^1.26))))*'F(T,E)'!F109</f>
        <v>15321.690136666683</v>
      </c>
      <c r="F129" s="17">
        <f>1/$F$29-LN($F$29)+($K$16*EXP($K$16/($D$14*$K$15))/(($D$14*$K$15^2)*(1-1.05*($K$17^1.26))))*'F(T,E)'!G109</f>
        <v>441.04156322202579</v>
      </c>
      <c r="G129" s="17">
        <f>1/$G$29-LN($G$29)+($L$16*EXP($L$16/($D$14*$L$15))/(($D$14*$L$15^2)*(1-1.05*($L$17^1.26))))*'F(T,E)'!H109</f>
        <v>13.389275116613572</v>
      </c>
      <c r="H129" s="17">
        <f>1/$H$29-LN($H$29)+($M$16*EXP($M$16/($D$14*$M$15))/(($D$14*$M$15^2)*(1-1.05*($M$17^1.26))))*'F(T,E)'!I109</f>
        <v>-10.332298612897628</v>
      </c>
      <c r="I129" s="17">
        <f>1/$I$29-LN($I$29)+($N$16*EXP($N$16/($D$14*$N$15))/(($D$14*$N$15^2)*(1-1.05*($N$17^1.26))))*'F(T,E)'!J109</f>
        <v>-3.9324695435704449</v>
      </c>
      <c r="J129" s="17">
        <f>1/$J$29-LN($J$29)+($O$16*EXP($O$16/($D$14*$O$15))/(($D$14*$O$15^2)*(1-1.05*($O$17^1.26))))*'F(T,E)'!K109</f>
        <v>-1.6481579092577925</v>
      </c>
      <c r="K129" s="17">
        <f>1/$K$29-LN($K$29)+($P$16*EXP($P$16/($D$14*$P$15))/(($D$14*$P$15^2)*(1-1.05*($P$17^1.26))))*'F(T,E)'!L109</f>
        <v>0.3025569601120886</v>
      </c>
      <c r="L129" s="17">
        <f>1/$L$29-LN($L$29)+($Q$16*EXP($Q$16/($D$14*$Q$15))/(($D$14*$Q$15^2)*(1-1.05*($Q$17^1.26))))*'F(T,E)'!M109</f>
        <v>-1.1827765865402393</v>
      </c>
      <c r="M129" s="17">
        <f>1/$M$29-LN($M$29)+($R$16*EXP($R$16/($D$14*$R$15))/(($D$14*$R$15^2)*(1-1.05*($R$17^1.26))))*'F(T,E)'!N109</f>
        <v>336.70706948217565</v>
      </c>
      <c r="N129" s="17">
        <f>1/$N$29-LN($N$29)+($S$16*EXP($S$16/($D$14*$S$15))/(($D$14*$S$15^2)*(1-1.05*($S$17^1.26))))*'F(T,E)'!O109</f>
        <v>-11.512897457860415</v>
      </c>
      <c r="O129" s="25"/>
      <c r="P129" s="20">
        <f t="shared" si="30"/>
        <v>15312.053426396847</v>
      </c>
      <c r="Q129" s="20">
        <f t="shared" si="31"/>
        <v>434.96629467743924</v>
      </c>
      <c r="R129" s="20">
        <f t="shared" si="32"/>
        <v>10.992098426772928</v>
      </c>
      <c r="S129" s="20">
        <f t="shared" si="33"/>
        <v>3.2563088164325029E-5</v>
      </c>
      <c r="T129" s="20">
        <f t="shared" si="34"/>
        <v>1.922215613848199E-2</v>
      </c>
      <c r="U129" s="20">
        <f t="shared" si="35"/>
        <v>0.16339946450528012</v>
      </c>
      <c r="V129" s="20">
        <f t="shared" si="36"/>
        <v>0.68333175921716749</v>
      </c>
      <c r="W129" s="20">
        <f t="shared" si="37"/>
        <v>0.24084114124684119</v>
      </c>
      <c r="X129" s="20">
        <f t="shared" si="38"/>
        <v>330.90523743951144</v>
      </c>
      <c r="Y129" s="20">
        <f t="shared" si="39"/>
        <v>1.0000180070918682E-5</v>
      </c>
      <c r="Z129" s="25"/>
      <c r="AA129" s="20">
        <f t="shared" si="41"/>
        <v>5.0882357248443907E-2</v>
      </c>
      <c r="AB129" s="20">
        <f t="shared" si="42"/>
        <v>2.541504518338106</v>
      </c>
      <c r="AC129" s="20">
        <f t="shared" si="43"/>
        <v>890.98895248839449</v>
      </c>
      <c r="AD129" s="20">
        <f t="shared" si="44"/>
        <v>70390.582155187687</v>
      </c>
      <c r="AE129" s="20">
        <f t="shared" si="45"/>
        <v>32058.043708298705</v>
      </c>
      <c r="AF129" s="20">
        <f t="shared" si="46"/>
        <v>43.963207573173868</v>
      </c>
      <c r="AG129" s="20">
        <f t="shared" si="47"/>
        <v>1.5903052853947182</v>
      </c>
      <c r="AH129" s="20">
        <f t="shared" si="48"/>
        <v>1.1029192194654765E-2</v>
      </c>
      <c r="AI129" s="20">
        <f t="shared" si="49"/>
        <v>0</v>
      </c>
      <c r="AJ129" s="20">
        <v>50</v>
      </c>
      <c r="AK129" s="25"/>
      <c r="AL129" s="20">
        <f t="shared" si="50"/>
        <v>103437.77174490114</v>
      </c>
      <c r="AM129" s="25"/>
      <c r="AN129" s="20">
        <f t="shared" si="51"/>
        <v>14454.833324116615</v>
      </c>
      <c r="AO129" s="20">
        <f t="shared" si="52"/>
        <v>120.22825509886025</v>
      </c>
      <c r="AQ129" s="20">
        <f t="shared" si="53"/>
        <v>1.5683110544681043E-5</v>
      </c>
      <c r="AR129" s="20">
        <v>464</v>
      </c>
      <c r="AS129" s="20">
        <f t="shared" si="54"/>
        <v>1.1609750584103616E-2</v>
      </c>
    </row>
    <row r="130" spans="2:45" x14ac:dyDescent="0.3">
      <c r="B130" s="32">
        <v>193</v>
      </c>
      <c r="C130" s="32">
        <v>106098</v>
      </c>
      <c r="D130" s="7">
        <f t="shared" si="40"/>
        <v>466</v>
      </c>
      <c r="E130" s="17">
        <f>1/$E$29-LN($E$29)+($J$16*EXP($J$16/($D$14*$J$15))/(($D$14*$J$15^2)*(1-1.05*($J$17^1.26))))*'F(T,E)'!F110</f>
        <v>17147.408031243958</v>
      </c>
      <c r="F130" s="17">
        <f>1/$F$29-LN($F$29)+($K$16*EXP($K$16/($D$14*$K$15))/(($D$14*$K$15^2)*(1-1.05*($K$17^1.26))))*'F(T,E)'!G110</f>
        <v>509.71766121469204</v>
      </c>
      <c r="G130" s="17">
        <f>1/$G$29-LN($G$29)+($L$16*EXP($L$16/($D$14*$L$15))/(($D$14*$L$15^2)*(1-1.05*($L$17^1.26))))*'F(T,E)'!H110</f>
        <v>16.134884220540286</v>
      </c>
      <c r="H130" s="17">
        <f>1/$H$29-LN($H$29)+($M$16*EXP($M$16/($D$14*$M$15))/(($D$14*$M$15^2)*(1-1.05*($M$17^1.26))))*'F(T,E)'!I110</f>
        <v>-10.093198065054144</v>
      </c>
      <c r="I130" s="17">
        <f>1/$I$29-LN($I$29)+($N$16*EXP($N$16/($D$14*$N$15))/(($D$14*$N$15^2)*(1-1.05*($N$17^1.26))))*'F(T,E)'!J110</f>
        <v>-3.9161937601803309</v>
      </c>
      <c r="J130" s="17">
        <f>1/$J$29-LN($J$29)+($O$16*EXP($O$16/($D$14*$O$15))/(($D$14*$O$15^2)*(1-1.05*($O$17^1.26))))*'F(T,E)'!K110</f>
        <v>-1.647023041263922</v>
      </c>
      <c r="K130" s="17">
        <f>1/$K$29-LN($K$29)+($P$16*EXP($P$16/($D$14*$P$15))/(($D$14*$P$15^2)*(1-1.05*($P$17^1.26))))*'F(T,E)'!L110</f>
        <v>0.30258964272813532</v>
      </c>
      <c r="L130" s="17">
        <f>1/$L$29-LN($L$29)+($Q$16*EXP($Q$16/($D$14*$Q$15))/(($D$14*$Q$15^2)*(1-1.05*($Q$17^1.26))))*'F(T,E)'!M110</f>
        <v>-1.182776242397505</v>
      </c>
      <c r="M130" s="17">
        <f>1/$M$29-LN($M$29)+($R$16*EXP($R$16/($D$14*$R$15))/(($D$14*$R$15^2)*(1-1.05*($R$17^1.26))))*'F(T,E)'!N110</f>
        <v>350.64179432592579</v>
      </c>
      <c r="N130" s="17">
        <f>1/$N$29-LN($N$29)+($S$16*EXP($S$16/($D$14*$S$15))/(($D$14*$S$15^2)*(1-1.05*($S$17^1.26))))*'F(T,E)'!O110</f>
        <v>-11.512895822158855</v>
      </c>
      <c r="O130" s="25"/>
      <c r="P130" s="20">
        <f t="shared" si="30"/>
        <v>17137.658713225923</v>
      </c>
      <c r="Q130" s="20">
        <f t="shared" si="31"/>
        <v>503.49608527758335</v>
      </c>
      <c r="R130" s="20">
        <f t="shared" si="32"/>
        <v>13.52997651419123</v>
      </c>
      <c r="S130" s="20">
        <f t="shared" si="33"/>
        <v>4.1358217608210313E-5</v>
      </c>
      <c r="T130" s="20">
        <f t="shared" si="34"/>
        <v>1.9531528198593349E-2</v>
      </c>
      <c r="U130" s="20">
        <f t="shared" si="35"/>
        <v>0.1635589235598813</v>
      </c>
      <c r="V130" s="20">
        <f t="shared" si="36"/>
        <v>0.68334502647609652</v>
      </c>
      <c r="W130" s="20">
        <f t="shared" si="37"/>
        <v>0.24084120804325485</v>
      </c>
      <c r="X130" s="20">
        <f t="shared" si="38"/>
        <v>344.79883317121619</v>
      </c>
      <c r="Y130" s="20">
        <f t="shared" si="39"/>
        <v>1.0000196428078626E-5</v>
      </c>
      <c r="Z130" s="25"/>
      <c r="AA130" s="20">
        <f t="shared" si="41"/>
        <v>4.5086589288996615E-2</v>
      </c>
      <c r="AB130" s="20">
        <f t="shared" si="42"/>
        <v>2.1714972934137116</v>
      </c>
      <c r="AC130" s="20">
        <f t="shared" si="43"/>
        <v>691.46357342984072</v>
      </c>
      <c r="AD130" s="20">
        <f t="shared" si="44"/>
        <v>66088.84289308096</v>
      </c>
      <c r="AE130" s="20">
        <f t="shared" si="45"/>
        <v>39942.095722282487</v>
      </c>
      <c r="AF130" s="20">
        <f t="shared" si="46"/>
        <v>52.902939584990783</v>
      </c>
      <c r="AG130" s="20">
        <f t="shared" si="47"/>
        <v>2.0309767992136969</v>
      </c>
      <c r="AH130" s="20">
        <f t="shared" si="48"/>
        <v>1.4237760497026648E-2</v>
      </c>
      <c r="AI130" s="20">
        <f t="shared" si="49"/>
        <v>0</v>
      </c>
      <c r="AJ130" s="20">
        <v>50</v>
      </c>
      <c r="AK130" s="25"/>
      <c r="AL130" s="20">
        <f t="shared" si="50"/>
        <v>106829.56692682068</v>
      </c>
      <c r="AM130" s="25"/>
      <c r="AN130" s="20">
        <f t="shared" si="51"/>
        <v>535190.16841785982</v>
      </c>
      <c r="AO130" s="20">
        <f t="shared" si="52"/>
        <v>731.56692682068388</v>
      </c>
      <c r="AQ130" s="20">
        <f t="shared" si="53"/>
        <v>9.5428857174440851E-5</v>
      </c>
      <c r="AR130" s="20">
        <v>466</v>
      </c>
      <c r="AS130" s="20">
        <f t="shared" si="54"/>
        <v>-6.8951999738042558E-2</v>
      </c>
    </row>
    <row r="131" spans="2:45" x14ac:dyDescent="0.3">
      <c r="B131" s="32">
        <v>195</v>
      </c>
      <c r="C131" s="32">
        <v>108294</v>
      </c>
      <c r="D131" s="7">
        <f t="shared" si="40"/>
        <v>468</v>
      </c>
      <c r="E131" s="17">
        <f>1/$E$29-LN($E$29)+($J$16*EXP($J$16/($D$14*$J$15))/(($D$14*$J$15^2)*(1-1.05*($J$17^1.26))))*'F(T,E)'!F111</f>
        <v>19172.808653773638</v>
      </c>
      <c r="F131" s="17">
        <f>1/$F$29-LN($F$29)+($K$16*EXP($K$16/($D$14*$K$15))/(($D$14*$K$15^2)*(1-1.05*($K$17^1.26))))*'F(T,E)'!G111</f>
        <v>588.26650771338461</v>
      </c>
      <c r="G131" s="17">
        <f>1/$G$29-LN($G$29)+($L$16*EXP($L$16/($D$14*$L$15))/(($D$14*$L$15^2)*(1-1.05*($L$17^1.26))))*'F(T,E)'!H111</f>
        <v>19.31047001018085</v>
      </c>
      <c r="H131" s="17">
        <f>1/$H$29-LN($H$29)+($M$16*EXP($M$16/($D$14*$M$15))/(($D$14*$M$15^2)*(1-1.05*($M$17^1.26))))*'F(T,E)'!I111</f>
        <v>-9.8083037465780443</v>
      </c>
      <c r="I131" s="17">
        <f>1/$I$29-LN($I$29)+($N$16*EXP($N$16/($D$14*$N$15))/(($D$14*$N$15^2)*(1-1.05*($N$17^1.26))))*'F(T,E)'!J111</f>
        <v>-3.8956046391386829</v>
      </c>
      <c r="J131" s="17">
        <f>1/$J$29-LN($J$29)+($O$16*EXP($O$16/($D$14*$O$15))/(($D$14*$O$15^2)*(1-1.05*($O$17^1.26))))*'F(T,E)'!K111</f>
        <v>-1.6456570438807661</v>
      </c>
      <c r="K131" s="17">
        <f>1/$K$29-LN($K$29)+($P$16*EXP($P$16/($D$14*$P$15))/(($D$14*$P$15^2)*(1-1.05*($P$17^1.26))))*'F(T,E)'!L111</f>
        <v>0.30263133665345304</v>
      </c>
      <c r="L131" s="17">
        <f>1/$L$29-LN($L$29)+($Q$16*EXP($Q$16/($D$14*$Q$15))/(($D$14*$Q$15^2)*(1-1.05*($Q$17^1.26))))*'F(T,E)'!M111</f>
        <v>-1.1827757986505929</v>
      </c>
      <c r="M131" s="17">
        <f>1/$M$29-LN($M$29)+($R$16*EXP($R$16/($D$14*$R$15))/(($D$14*$R$15^2)*(1-1.05*($R$17^1.26))))*'F(T,E)'!N111</f>
        <v>365.01569415681286</v>
      </c>
      <c r="N131" s="17">
        <f>1/$N$29-LN($N$29)+($S$16*EXP($S$16/($D$14*$S$15))/(($D$14*$S$15^2)*(1-1.05*($S$17^1.26))))*'F(T,E)'!O111</f>
        <v>-11.512893870339958</v>
      </c>
      <c r="O131" s="25"/>
      <c r="P131" s="20">
        <f t="shared" si="30"/>
        <v>19162.947662602899</v>
      </c>
      <c r="Q131" s="20">
        <f t="shared" si="31"/>
        <v>581.90020874299546</v>
      </c>
      <c r="R131" s="20">
        <f t="shared" si="32"/>
        <v>16.506703442534786</v>
      </c>
      <c r="S131" s="20">
        <f t="shared" si="33"/>
        <v>5.4990025891531514E-5</v>
      </c>
      <c r="T131" s="20">
        <f t="shared" si="34"/>
        <v>1.9929892637015178E-2</v>
      </c>
      <c r="U131" s="20">
        <f t="shared" si="35"/>
        <v>0.16375103570288674</v>
      </c>
      <c r="V131" s="20">
        <f t="shared" si="36"/>
        <v>0.68336195202948002</v>
      </c>
      <c r="W131" s="20">
        <f t="shared" si="37"/>
        <v>0.24084129417237199</v>
      </c>
      <c r="X131" s="20">
        <f t="shared" si="38"/>
        <v>359.13200413636531</v>
      </c>
      <c r="Y131" s="20">
        <f t="shared" si="39"/>
        <v>1.0000215946474845E-5</v>
      </c>
      <c r="Z131" s="25"/>
      <c r="AA131" s="20">
        <f t="shared" si="41"/>
        <v>3.9990272951389828E-2</v>
      </c>
      <c r="AB131" s="20">
        <f t="shared" si="42"/>
        <v>1.8590166541762987</v>
      </c>
      <c r="AC131" s="20">
        <f t="shared" si="43"/>
        <v>543.75979800070979</v>
      </c>
      <c r="AD131" s="20">
        <f t="shared" si="44"/>
        <v>59183.454038166885</v>
      </c>
      <c r="AE131" s="20">
        <f t="shared" si="45"/>
        <v>49451.063411843919</v>
      </c>
      <c r="AF131" s="20">
        <f t="shared" si="46"/>
        <v>63.544890546769579</v>
      </c>
      <c r="AG131" s="20">
        <f t="shared" si="47"/>
        <v>2.5883210896470255</v>
      </c>
      <c r="AH131" s="20">
        <f t="shared" si="48"/>
        <v>1.8339680800907136E-2</v>
      </c>
      <c r="AI131" s="20">
        <f t="shared" si="49"/>
        <v>0</v>
      </c>
      <c r="AJ131" s="20">
        <v>50</v>
      </c>
      <c r="AK131" s="25"/>
      <c r="AL131" s="20">
        <f t="shared" si="50"/>
        <v>109296.32780625585</v>
      </c>
      <c r="AM131" s="25"/>
      <c r="AN131" s="20">
        <f t="shared" si="51"/>
        <v>1004661.0311936706</v>
      </c>
      <c r="AO131" s="20">
        <f t="shared" si="52"/>
        <v>1002.3278062558529</v>
      </c>
      <c r="AQ131" s="20">
        <f t="shared" si="53"/>
        <v>1.3074811552901932E-4</v>
      </c>
      <c r="AR131" s="20">
        <v>468</v>
      </c>
      <c r="AS131" s="20">
        <f t="shared" si="54"/>
        <v>-9.2556171741357135E-2</v>
      </c>
    </row>
    <row r="132" spans="2:45" x14ac:dyDescent="0.3">
      <c r="B132" s="32">
        <v>196</v>
      </c>
      <c r="C132" s="32">
        <v>110660</v>
      </c>
      <c r="D132" s="7">
        <f t="shared" si="40"/>
        <v>469</v>
      </c>
      <c r="E132" s="17">
        <f>1/$E$29-LN($E$29)+($J$16*EXP($J$16/($D$14*$J$15))/(($D$14*$J$15^2)*(1-1.05*($J$17^1.26))))*'F(T,E)'!F112</f>
        <v>20266.525322628884</v>
      </c>
      <c r="F132" s="17">
        <f>1/$F$29-LN($F$29)+($K$16*EXP($K$16/($D$14*$K$15))/(($D$14*$K$15^2)*(1-1.05*($K$17^1.26))))*'F(T,E)'!G112</f>
        <v>631.64847306645095</v>
      </c>
      <c r="G132" s="17">
        <f>1/$G$29-LN($G$29)+($L$16*EXP($L$16/($D$14*$L$15))/(($D$14*$L$15^2)*(1-1.05*($L$17^1.26))))*'F(T,E)'!H112</f>
        <v>21.078803183259684</v>
      </c>
      <c r="H132" s="17">
        <f>1/$H$29-LN($H$29)+($M$16*EXP($M$16/($D$14*$M$15))/(($D$14*$M$15^2)*(1-1.05*($M$17^1.26))))*'F(T,E)'!I112</f>
        <v>-9.6461537305828777</v>
      </c>
      <c r="I132" s="17">
        <f>1/$I$29-LN($I$29)+($N$16*EXP($N$16/($D$14*$N$15))/(($D$14*$N$15^2)*(1-1.05*($N$17^1.26))))*'F(T,E)'!J112</f>
        <v>-3.8833612736400602</v>
      </c>
      <c r="J132" s="17">
        <f>1/$J$29-LN($J$29)+($O$16*EXP($O$16/($D$14*$O$15))/(($D$14*$O$15^2)*(1-1.05*($O$17^1.26))))*'F(T,E)'!K112</f>
        <v>-1.6448737728849605</v>
      </c>
      <c r="K132" s="17">
        <f>1/$K$29-LN($K$29)+($P$16*EXP($P$16/($D$14*$P$15))/(($D$14*$P$15^2)*(1-1.05*($P$17^1.26))))*'F(T,E)'!L112</f>
        <v>0.30265628304740877</v>
      </c>
      <c r="L132" s="17">
        <f>1/$L$29-LN($L$29)+($Q$16*EXP($Q$16/($D$14*$Q$15))/(($D$14*$Q$15^2)*(1-1.05*($Q$17^1.26))))*'F(T,E)'!M112</f>
        <v>-1.1827755310694141</v>
      </c>
      <c r="M132" s="17">
        <f>1/$M$29-LN($M$29)+($R$16*EXP($R$16/($D$14*$R$15))/(($D$14*$R$15^2)*(1-1.05*($R$17^1.26))))*'F(T,E)'!N112</f>
        <v>372.37036369398663</v>
      </c>
      <c r="N132" s="17">
        <f>1/$N$29-LN($N$29)+($S$16*EXP($S$16/($D$14*$S$15))/(($D$14*$S$15^2)*(1-1.05*($S$17^1.26))))*'F(T,E)'!O112</f>
        <v>-11.512892758258181</v>
      </c>
      <c r="O132" s="25"/>
      <c r="P132" s="20">
        <f t="shared" si="30"/>
        <v>20256.608841481604</v>
      </c>
      <c r="Q132" s="20">
        <f t="shared" si="31"/>
        <v>625.21038485758481</v>
      </c>
      <c r="R132" s="20">
        <f t="shared" si="32"/>
        <v>18.178560289635453</v>
      </c>
      <c r="S132" s="20">
        <f t="shared" si="33"/>
        <v>6.4669659983036375E-5</v>
      </c>
      <c r="T132" s="20">
        <f t="shared" si="34"/>
        <v>2.0170546748094195E-2</v>
      </c>
      <c r="U132" s="20">
        <f t="shared" si="35"/>
        <v>0.16386128138926659</v>
      </c>
      <c r="V132" s="20">
        <f t="shared" si="36"/>
        <v>0.68337207907998576</v>
      </c>
      <c r="W132" s="20">
        <f t="shared" si="37"/>
        <v>0.24084134610858923</v>
      </c>
      <c r="X132" s="20">
        <f t="shared" si="38"/>
        <v>366.46645670017676</v>
      </c>
      <c r="Y132" s="20">
        <f t="shared" si="39"/>
        <v>1.0000227067427746E-5</v>
      </c>
      <c r="Z132" s="25"/>
      <c r="AA132" s="20">
        <f t="shared" si="41"/>
        <v>3.7676107371964383E-2</v>
      </c>
      <c r="AB132" s="20">
        <f t="shared" si="42"/>
        <v>1.7212743628664564</v>
      </c>
      <c r="AC132" s="20">
        <f t="shared" si="43"/>
        <v>484.35669721957845</v>
      </c>
      <c r="AD132" s="20">
        <f t="shared" si="44"/>
        <v>54882.907951673027</v>
      </c>
      <c r="AE132" s="20">
        <f t="shared" si="45"/>
        <v>54875.291647567356</v>
      </c>
      <c r="AF132" s="20">
        <f t="shared" si="46"/>
        <v>69.595623388208196</v>
      </c>
      <c r="AG132" s="20">
        <f t="shared" si="47"/>
        <v>2.9196876138841712</v>
      </c>
      <c r="AH132" s="20">
        <f t="shared" si="48"/>
        <v>2.0797692123297219E-2</v>
      </c>
      <c r="AI132" s="20">
        <f t="shared" si="49"/>
        <v>0</v>
      </c>
      <c r="AJ132" s="20">
        <v>50</v>
      </c>
      <c r="AK132" s="25"/>
      <c r="AL132" s="20">
        <f t="shared" si="50"/>
        <v>110366.85135562441</v>
      </c>
      <c r="AM132" s="25"/>
      <c r="AN132" s="20">
        <f t="shared" si="51"/>
        <v>85936.127699243618</v>
      </c>
      <c r="AO132" s="20">
        <f t="shared" si="52"/>
        <v>293.14864437558572</v>
      </c>
      <c r="AQ132" s="20">
        <f t="shared" si="53"/>
        <v>3.8239618399063711E-5</v>
      </c>
      <c r="AR132" s="20">
        <v>469</v>
      </c>
      <c r="AS132" s="20">
        <f t="shared" si="54"/>
        <v>2.6490931174370659E-2</v>
      </c>
    </row>
    <row r="133" spans="2:45" x14ac:dyDescent="0.3">
      <c r="B133" s="32">
        <v>197</v>
      </c>
      <c r="C133" s="32">
        <v>112630</v>
      </c>
      <c r="D133" s="7">
        <f t="shared" si="40"/>
        <v>470</v>
      </c>
      <c r="E133" s="17">
        <f>1/$E$29-LN($E$29)+($J$16*EXP($J$16/($D$14*$J$15))/(($D$14*$J$15^2)*(1-1.05*($J$17^1.26))))*'F(T,E)'!F113</f>
        <v>21417.74119071741</v>
      </c>
      <c r="F133" s="17">
        <f>1/$F$29-LN($F$29)+($K$16*EXP($K$16/($D$14*$K$15))/(($D$14*$K$15^2)*(1-1.05*($K$17^1.26))))*'F(T,E)'!G113</f>
        <v>678.00448272005508</v>
      </c>
      <c r="G133" s="17">
        <f>1/$G$29-LN($G$29)+($L$16*EXP($L$16/($D$14*$L$15))/(($D$14*$L$15^2)*(1-1.05*($L$17^1.26))))*'F(T,E)'!H113</f>
        <v>22.978812956514584</v>
      </c>
      <c r="H133" s="17">
        <f>1/$H$29-LN($H$29)+($M$16*EXP($M$16/($D$14*$M$15))/(($D$14*$M$15^2)*(1-1.05*($M$17^1.26))))*'F(T,E)'!I113</f>
        <v>-9.469351995147564</v>
      </c>
      <c r="I133" s="17">
        <f>1/$I$29-LN($I$29)+($N$16*EXP($N$16/($D$14*$N$15))/(($D$14*$N$15^2)*(1-1.05*($N$17^1.26))))*'F(T,E)'!J113</f>
        <v>-3.8696112400148706</v>
      </c>
      <c r="J133" s="17">
        <f>1/$J$29-LN($J$29)+($O$16*EXP($O$16/($D$14*$O$15))/(($D$14*$O$15^2)*(1-1.05*($O$17^1.26))))*'F(T,E)'!K113</f>
        <v>-1.6440154423121556</v>
      </c>
      <c r="K133" s="17">
        <f>1/$K$29-LN($K$29)+($P$16*EXP($P$16/($D$14*$P$15))/(($D$14*$P$15^2)*(1-1.05*($P$17^1.26))))*'F(T,E)'!L113</f>
        <v>0.30268441616598146</v>
      </c>
      <c r="L133" s="17">
        <f>1/$L$29-LN($L$29)+($Q$16*EXP($Q$16/($D$14*$Q$15))/(($D$14*$Q$15^2)*(1-1.05*($Q$17^1.26))))*'F(T,E)'!M113</f>
        <v>-1.1827752277102914</v>
      </c>
      <c r="M133" s="17">
        <f>1/$M$29-LN($M$29)+($R$16*EXP($R$16/($D$14*$R$15))/(($D$14*$R$15^2)*(1-1.05*($R$17^1.26))))*'F(T,E)'!N113</f>
        <v>379.83847454355026</v>
      </c>
      <c r="N133" s="17">
        <f>1/$N$29-LN($N$29)+($S$16*EXP($S$16/($D$14*$S$15))/(($D$14*$S$15^2)*(1-1.05*($S$17^1.26))))*'F(T,E)'!O113</f>
        <v>-11.512891544817927</v>
      </c>
      <c r="O133" s="25"/>
      <c r="P133" s="20">
        <f t="shared" si="30"/>
        <v>21407.769448629322</v>
      </c>
      <c r="Q133" s="20">
        <f t="shared" si="31"/>
        <v>671.49497618560065</v>
      </c>
      <c r="R133" s="20">
        <f t="shared" si="32"/>
        <v>19.98388667398487</v>
      </c>
      <c r="S133" s="20">
        <f t="shared" si="33"/>
        <v>7.7175448926703272E-5</v>
      </c>
      <c r="T133" s="20">
        <f t="shared" si="34"/>
        <v>2.0444212327052184E-2</v>
      </c>
      <c r="U133" s="20">
        <f t="shared" si="35"/>
        <v>0.16398216496611731</v>
      </c>
      <c r="V133" s="20">
        <f t="shared" si="36"/>
        <v>0.68338349989621694</v>
      </c>
      <c r="W133" s="20">
        <f t="shared" si="37"/>
        <v>0.24084140498914386</v>
      </c>
      <c r="X133" s="20">
        <f t="shared" si="38"/>
        <v>373.91444752224351</v>
      </c>
      <c r="Y133" s="20">
        <f t="shared" si="39"/>
        <v>1.0000239201991825E-5</v>
      </c>
      <c r="Z133" s="25"/>
      <c r="AA133" s="20">
        <f t="shared" si="41"/>
        <v>3.5504396883092634E-2</v>
      </c>
      <c r="AB133" s="20">
        <f t="shared" si="42"/>
        <v>1.594455592296921</v>
      </c>
      <c r="AC133" s="20">
        <f t="shared" si="43"/>
        <v>432.62421369691634</v>
      </c>
      <c r="AD133" s="20">
        <f t="shared" si="44"/>
        <v>50136.096163270267</v>
      </c>
      <c r="AE133" s="20">
        <f t="shared" si="45"/>
        <v>60772.773640606014</v>
      </c>
      <c r="AF133" s="20">
        <f t="shared" si="46"/>
        <v>76.187157381842979</v>
      </c>
      <c r="AG133" s="20">
        <f t="shared" si="47"/>
        <v>3.2917799738267441</v>
      </c>
      <c r="AH133" s="20">
        <f t="shared" si="48"/>
        <v>2.35725226589289E-2</v>
      </c>
      <c r="AI133" s="20">
        <f t="shared" si="49"/>
        <v>0</v>
      </c>
      <c r="AJ133" s="20">
        <v>50</v>
      </c>
      <c r="AK133" s="25"/>
      <c r="AL133" s="20">
        <f t="shared" si="50"/>
        <v>111472.62648744071</v>
      </c>
      <c r="AM133" s="25"/>
      <c r="AN133" s="20">
        <f t="shared" si="51"/>
        <v>1339513.4475738381</v>
      </c>
      <c r="AO133" s="20">
        <f t="shared" si="52"/>
        <v>1157.3735125592939</v>
      </c>
      <c r="AQ133" s="20">
        <f t="shared" si="53"/>
        <v>1.5097296990651638E-4</v>
      </c>
      <c r="AR133" s="20">
        <v>470</v>
      </c>
      <c r="AS133" s="20">
        <f t="shared" si="54"/>
        <v>0.10275890194080564</v>
      </c>
    </row>
    <row r="134" spans="2:45" x14ac:dyDescent="0.3">
      <c r="B134" s="32">
        <v>199</v>
      </c>
      <c r="C134" s="32">
        <v>114828</v>
      </c>
      <c r="D134" s="7">
        <f t="shared" si="40"/>
        <v>472</v>
      </c>
      <c r="E134" s="17">
        <f>1/$E$29-LN($E$29)+($J$16*EXP($J$16/($D$14*$J$15))/(($D$14*$J$15^2)*(1-1.05*($J$17^1.26))))*'F(T,E)'!F114</f>
        <v>23903.824274473402</v>
      </c>
      <c r="F134" s="17">
        <f>1/$F$29-LN($F$29)+($K$16*EXP($K$16/($D$14*$K$15))/(($D$14*$K$15^2)*(1-1.05*($K$17^1.26))))*'F(T,E)'!G114</f>
        <v>780.4095176246658</v>
      </c>
      <c r="G134" s="17">
        <f>1/$G$29-LN($G$29)+($L$16*EXP($L$16/($D$14*$L$15))/(($D$14*$L$15^2)*(1-1.05*($L$17^1.26))))*'F(T,E)'!H114</f>
        <v>27.211184752413683</v>
      </c>
      <c r="H134" s="17">
        <f>1/$H$29-LN($H$29)+($M$16*EXP($M$16/($D$14*$M$15))/(($D$14*$M$15^2)*(1-1.05*($M$17^1.26))))*'F(T,E)'!I114</f>
        <v>-9.066680285214785</v>
      </c>
      <c r="I134" s="17">
        <f>1/$I$29-LN($I$29)+($N$16*EXP($N$16/($D$14*$N$15))/(($D$14*$N$15^2)*(1-1.05*($N$17^1.26))))*'F(T,E)'!J114</f>
        <v>-3.8368599211737751</v>
      </c>
      <c r="J134" s="17">
        <f>1/$J$29-LN($J$29)+($O$16*EXP($O$16/($D$14*$O$15))/(($D$14*$O$15^2)*(1-1.05*($O$17^1.26))))*'F(T,E)'!K114</f>
        <v>-1.6420457074816301</v>
      </c>
      <c r="K134" s="17">
        <f>1/$K$29-LN($K$29)+($P$16*EXP($P$16/($D$14*$P$15))/(($D$14*$P$15^2)*(1-1.05*($P$17^1.26))))*'F(T,E)'!L114</f>
        <v>0.3027518519979347</v>
      </c>
      <c r="L134" s="17">
        <f>1/$L$29-LN($L$29)+($Q$16*EXP($Q$16/($D$14*$Q$15))/(($D$14*$Q$15^2)*(1-1.05*($Q$17^1.26))))*'F(T,E)'!M114</f>
        <v>-1.182774494688881</v>
      </c>
      <c r="M134" s="17">
        <f>1/$M$29-LN($M$29)+($R$16*EXP($R$16/($D$14*$R$15))/(($D$14*$R$15^2)*(1-1.05*($R$17^1.26))))*'F(T,E)'!N114</f>
        <v>395.11994280773109</v>
      </c>
      <c r="N134" s="17">
        <f>1/$N$29-LN($N$29)+($S$16*EXP($S$16/($D$14*$S$15))/(($D$14*$S$15^2)*(1-1.05*($S$17^1.26))))*'F(T,E)'!O114</f>
        <v>-11.512888778161553</v>
      </c>
      <c r="O134" s="25"/>
      <c r="P134" s="20">
        <f t="shared" si="30"/>
        <v>23893.742691619242</v>
      </c>
      <c r="Q134" s="20">
        <f t="shared" si="31"/>
        <v>773.75396569457541</v>
      </c>
      <c r="R134" s="20">
        <f t="shared" si="32"/>
        <v>24.031806527484996</v>
      </c>
      <c r="S134" s="20">
        <f t="shared" si="33"/>
        <v>1.1543583528259221E-4</v>
      </c>
      <c r="T134" s="20">
        <f t="shared" si="34"/>
        <v>2.1110795863782603E-2</v>
      </c>
      <c r="U134" s="20">
        <f t="shared" si="35"/>
        <v>0.1642598635971288</v>
      </c>
      <c r="V134" s="20">
        <f t="shared" si="36"/>
        <v>0.68341087635749254</v>
      </c>
      <c r="W134" s="20">
        <f t="shared" si="37"/>
        <v>0.24084154726514118</v>
      </c>
      <c r="X134" s="20">
        <f t="shared" si="38"/>
        <v>389.15596261229916</v>
      </c>
      <c r="Y134" s="20">
        <f t="shared" si="39"/>
        <v>1.0000266868978953E-5</v>
      </c>
      <c r="Z134" s="25"/>
      <c r="AA134" s="20">
        <f t="shared" si="41"/>
        <v>3.1551850890064799E-2</v>
      </c>
      <c r="AB134" s="20">
        <f t="shared" si="42"/>
        <v>1.3699587488135199</v>
      </c>
      <c r="AC134" s="20">
        <f t="shared" si="43"/>
        <v>347.75560592630728</v>
      </c>
      <c r="AD134" s="20">
        <f t="shared" si="44"/>
        <v>39791.525471950488</v>
      </c>
      <c r="AE134" s="20">
        <f t="shared" si="45"/>
        <v>74037.993025714706</v>
      </c>
      <c r="AF134" s="20">
        <f t="shared" si="46"/>
        <v>91.173691527846415</v>
      </c>
      <c r="AG134" s="20">
        <f t="shared" si="47"/>
        <v>4.177853657038848</v>
      </c>
      <c r="AH134" s="20">
        <f t="shared" si="48"/>
        <v>3.0234057277450887E-2</v>
      </c>
      <c r="AI134" s="20">
        <f t="shared" si="49"/>
        <v>0</v>
      </c>
      <c r="AJ134" s="20">
        <v>50</v>
      </c>
      <c r="AK134" s="25"/>
      <c r="AL134" s="20">
        <f t="shared" si="50"/>
        <v>114324.05739343337</v>
      </c>
      <c r="AM134" s="25"/>
      <c r="AN134" s="20">
        <f t="shared" si="51"/>
        <v>253958.15071317318</v>
      </c>
      <c r="AO134" s="20">
        <f t="shared" si="52"/>
        <v>503.94260656663391</v>
      </c>
      <c r="AQ134" s="20">
        <f t="shared" si="53"/>
        <v>6.573652425097993E-5</v>
      </c>
      <c r="AR134" s="20">
        <v>472</v>
      </c>
      <c r="AS134" s="20">
        <f t="shared" si="54"/>
        <v>4.388673551456386E-2</v>
      </c>
    </row>
    <row r="135" spans="2:45" x14ac:dyDescent="0.3">
      <c r="B135" s="32">
        <v>200</v>
      </c>
      <c r="C135" s="32">
        <v>117890</v>
      </c>
      <c r="D135" s="7">
        <f t="shared" si="40"/>
        <v>473</v>
      </c>
      <c r="E135" s="17">
        <f>1/$E$29-LN($E$29)+($J$16*EXP($J$16/($D$14*$J$15))/(($D$14*$J$15^2)*(1-1.05*($J$17^1.26))))*'F(T,E)'!F115</f>
        <v>25244.570907869493</v>
      </c>
      <c r="F135" s="17">
        <f>1/$F$29-LN($F$29)+($K$16*EXP($K$16/($D$14*$K$15))/(($D$14*$K$15^2)*(1-1.05*($K$17^1.26))))*'F(T,E)'!G115</f>
        <v>836.87262078385845</v>
      </c>
      <c r="G135" s="17">
        <f>1/$G$29-LN($G$29)+($L$16*EXP($L$16/($D$14*$L$15))/(($D$14*$L$15^2)*(1-1.05*($L$17^1.26))))*'F(T,E)'!H115</f>
        <v>29.563732993736679</v>
      </c>
      <c r="H135" s="17">
        <f>1/$H$29-LN($H$29)+($M$16*EXP($M$16/($D$14*$M$15))/(($D$14*$M$15^2)*(1-1.05*($M$17^1.26))))*'F(T,E)'!I115</f>
        <v>-8.8379936717373688</v>
      </c>
      <c r="I135" s="17">
        <f>1/$I$29-LN($I$29)+($N$16*EXP($N$16/($D$14*$N$15))/(($D$14*$N$15^2)*(1-1.05*($N$17^1.26))))*'F(T,E)'!J115</f>
        <v>-3.8174406710596545</v>
      </c>
      <c r="J135" s="17">
        <f>1/$J$29-LN($J$29)+($O$16*EXP($O$16/($D$14*$O$15))/(($D$14*$O$15^2)*(1-1.05*($O$17^1.26))))*'F(T,E)'!K115</f>
        <v>-1.6409188404476782</v>
      </c>
      <c r="K135" s="17">
        <f>1/$K$29-LN($K$29)+($P$16*EXP($P$16/($D$14*$P$15))/(($D$14*$P$15^2)*(1-1.05*($P$17^1.26))))*'F(T,E)'!L115</f>
        <v>0.30279207941561609</v>
      </c>
      <c r="L135" s="17">
        <f>1/$L$29-LN($L$29)+($Q$16*EXP($Q$16/($D$14*$Q$15))/(($D$14*$Q$15^2)*(1-1.05*($Q$17^1.26))))*'F(T,E)'!M115</f>
        <v>-1.1827740540555423</v>
      </c>
      <c r="M135" s="17">
        <f>1/$M$29-LN($M$29)+($R$16*EXP($R$16/($D$14*$R$15))/(($D$14*$R$15^2)*(1-1.05*($R$17^1.26))))*'F(T,E)'!N115</f>
        <v>402.93577720918711</v>
      </c>
      <c r="N135" s="17">
        <f>1/$N$29-LN($N$29)+($S$16*EXP($S$16/($D$14*$S$15))/(($D$14*$S$15^2)*(1-1.05*($S$17^1.26))))*'F(T,E)'!O115</f>
        <v>-11.512887205261496</v>
      </c>
      <c r="O135" s="25"/>
      <c r="P135" s="20">
        <f t="shared" si="30"/>
        <v>25234.434742234753</v>
      </c>
      <c r="Q135" s="20">
        <f t="shared" si="31"/>
        <v>830.1469696369096</v>
      </c>
      <c r="R135" s="20">
        <f t="shared" si="32"/>
        <v>26.294377847463458</v>
      </c>
      <c r="S135" s="20">
        <f t="shared" si="33"/>
        <v>1.4509254695432025E-4</v>
      </c>
      <c r="T135" s="20">
        <f t="shared" si="34"/>
        <v>2.1516037144543216E-2</v>
      </c>
      <c r="U135" s="20">
        <f t="shared" si="35"/>
        <v>0.16441891398138506</v>
      </c>
      <c r="V135" s="20">
        <f t="shared" si="36"/>
        <v>0.68342720751602504</v>
      </c>
      <c r="W135" s="20">
        <f t="shared" si="37"/>
        <v>0.24084163279002588</v>
      </c>
      <c r="X135" s="20">
        <f t="shared" si="38"/>
        <v>396.95196193849517</v>
      </c>
      <c r="Y135" s="20">
        <f t="shared" si="39"/>
        <v>1.0000282598254355E-5</v>
      </c>
      <c r="Z135" s="25"/>
      <c r="AA135" s="20">
        <f t="shared" si="41"/>
        <v>2.9754318461867504E-2</v>
      </c>
      <c r="AB135" s="20">
        <f t="shared" si="42"/>
        <v>1.2706477537719048</v>
      </c>
      <c r="AC135" s="20">
        <f t="shared" si="43"/>
        <v>312.86605673762085</v>
      </c>
      <c r="AD135" s="20">
        <f t="shared" si="44"/>
        <v>34474.345336982457</v>
      </c>
      <c r="AE135" s="20">
        <f t="shared" si="45"/>
        <v>81412.169995681936</v>
      </c>
      <c r="AF135" s="20">
        <f t="shared" si="46"/>
        <v>99.66737609503933</v>
      </c>
      <c r="AG135" s="20">
        <f t="shared" si="47"/>
        <v>4.7030944633424117</v>
      </c>
      <c r="AH135" s="20">
        <f t="shared" si="48"/>
        <v>3.4213602318858491E-2</v>
      </c>
      <c r="AI135" s="20">
        <f t="shared" si="49"/>
        <v>0</v>
      </c>
      <c r="AJ135" s="20">
        <v>50</v>
      </c>
      <c r="AK135" s="25"/>
      <c r="AL135" s="20">
        <f t="shared" si="50"/>
        <v>116355.08647563496</v>
      </c>
      <c r="AM135" s="25"/>
      <c r="AN135" s="20">
        <f t="shared" si="51"/>
        <v>2355959.5272787022</v>
      </c>
      <c r="AO135" s="20">
        <f t="shared" si="52"/>
        <v>1534.913524365038</v>
      </c>
      <c r="AQ135" s="20">
        <f t="shared" si="53"/>
        <v>2.0022097517217546E-4</v>
      </c>
      <c r="AR135" s="20">
        <v>473</v>
      </c>
      <c r="AS135" s="20">
        <f t="shared" si="54"/>
        <v>0.13019878907159538</v>
      </c>
    </row>
    <row r="136" spans="2:45" x14ac:dyDescent="0.3">
      <c r="B136" s="32">
        <v>202</v>
      </c>
      <c r="C136" s="32">
        <v>122054</v>
      </c>
      <c r="D136" s="7">
        <f t="shared" si="40"/>
        <v>475</v>
      </c>
      <c r="E136" s="17">
        <f>1/$E$29-LN($E$29)+($J$16*EXP($J$16/($D$14*$J$15))/(($D$14*$J$15^2)*(1-1.05*($J$17^1.26))))*'F(T,E)'!F116</f>
        <v>28137.129396005726</v>
      </c>
      <c r="F136" s="17">
        <f>1/$F$29-LN($F$29)+($K$16*EXP($K$16/($D$14*$K$15))/(($D$14*$K$15^2)*(1-1.05*($K$17^1.26))))*'F(T,E)'!G116</f>
        <v>961.44767560530192</v>
      </c>
      <c r="G136" s="17">
        <f>1/$G$29-LN($G$29)+($L$16*EXP($L$16/($D$14*$L$15))/(($D$14*$L$15^2)*(1-1.05*($L$17^1.26))))*'F(T,E)'!H116</f>
        <v>34.796983101811321</v>
      </c>
      <c r="H136" s="17">
        <f>1/$H$29-LN($H$29)+($M$16*EXP($M$16/($D$14*$M$15))/(($D$14*$M$15^2)*(1-1.05*($M$17^1.26))))*'F(T,E)'!I116</f>
        <v>-8.3180131150565408</v>
      </c>
      <c r="I136" s="17">
        <f>1/$I$29-LN($I$29)+($N$16*EXP($N$16/($D$14*$N$15))/(($D$14*$N$15^2)*(1-1.05*($N$17^1.26))))*'F(T,E)'!J116</f>
        <v>-3.7712887798761381</v>
      </c>
      <c r="J136" s="17">
        <f>1/$J$29-LN($J$29)+($O$16*EXP($O$16/($D$14*$O$15))/(($D$14*$O$15^2)*(1-1.05*($O$17^1.26))))*'F(T,E)'!K116</f>
        <v>-1.6383373798371006</v>
      </c>
      <c r="K136" s="17">
        <f>1/$K$29-LN($K$29)+($P$16*EXP($P$16/($D$14*$P$15))/(($D$14*$P$15^2)*(1-1.05*($P$17^1.26))))*'F(T,E)'!L116</f>
        <v>0.30288828308821708</v>
      </c>
      <c r="L136" s="17">
        <f>1/$L$29-LN($L$29)+($Q$16*EXP($Q$16/($D$14*$Q$15))/(($D$14*$Q$15^2)*(1-1.05*($Q$17^1.26))))*'F(T,E)'!M116</f>
        <v>-1.1827729918985685</v>
      </c>
      <c r="M136" s="17">
        <f>1/$M$29-LN($M$29)+($R$16*EXP($R$16/($D$14*$R$15))/(($D$14*$R$15^2)*(1-1.05*($R$17^1.26))))*'F(T,E)'!N116</f>
        <v>418.92388562917137</v>
      </c>
      <c r="N136" s="17">
        <f>1/$N$29-LN($N$29)+($S$16*EXP($S$16/($D$14*$S$15))/(($D$14*$S$15^2)*(1-1.05*($S$17^1.26))))*'F(T,E)'!O116</f>
        <v>-11.512883625008861</v>
      </c>
      <c r="O136" s="25"/>
      <c r="P136" s="20">
        <f t="shared" si="30"/>
        <v>28126.884732743845</v>
      </c>
      <c r="Q136" s="20">
        <f t="shared" si="31"/>
        <v>954.58280738742792</v>
      </c>
      <c r="R136" s="20">
        <f t="shared" si="32"/>
        <v>31.351714158136698</v>
      </c>
      <c r="S136" s="20">
        <f t="shared" si="33"/>
        <v>2.4402078891101341E-4</v>
      </c>
      <c r="T136" s="20">
        <f t="shared" si="34"/>
        <v>2.2509930526610634E-2</v>
      </c>
      <c r="U136" s="20">
        <f t="shared" si="35"/>
        <v>0.16478376993338725</v>
      </c>
      <c r="V136" s="20">
        <f t="shared" si="36"/>
        <v>0.68346626434188695</v>
      </c>
      <c r="W136" s="20">
        <f t="shared" si="37"/>
        <v>0.2408418389498623</v>
      </c>
      <c r="X136" s="20">
        <f t="shared" si="38"/>
        <v>412.90067855289755</v>
      </c>
      <c r="Y136" s="20">
        <f t="shared" si="39"/>
        <v>1.0000318401498525E-5</v>
      </c>
      <c r="Z136" s="25"/>
      <c r="AA136" s="20">
        <f t="shared" si="41"/>
        <v>2.6479177529460846E-2</v>
      </c>
      <c r="AB136" s="20">
        <f t="shared" si="42"/>
        <v>1.0944227628162386</v>
      </c>
      <c r="AC136" s="20">
        <f t="shared" si="43"/>
        <v>254.81866293374199</v>
      </c>
      <c r="AD136" s="20">
        <f t="shared" si="44"/>
        <v>24280.030985338773</v>
      </c>
      <c r="AE136" s="20">
        <f t="shared" si="45"/>
        <v>97579.178981794073</v>
      </c>
      <c r="AF136" s="20">
        <f t="shared" si="46"/>
        <v>118.92848068105405</v>
      </c>
      <c r="AG136" s="20">
        <f t="shared" si="47"/>
        <v>5.950988543965896</v>
      </c>
      <c r="AH136" s="20">
        <f t="shared" si="48"/>
        <v>4.3744667769624969E-2</v>
      </c>
      <c r="AI136" s="20">
        <f t="shared" si="49"/>
        <v>0</v>
      </c>
      <c r="AJ136" s="20">
        <v>50</v>
      </c>
      <c r="AK136" s="25"/>
      <c r="AL136" s="20">
        <f t="shared" si="50"/>
        <v>122290.07274589973</v>
      </c>
      <c r="AM136" s="25"/>
      <c r="AN136" s="20">
        <f t="shared" si="51"/>
        <v>55730.34135663756</v>
      </c>
      <c r="AO136" s="20">
        <f t="shared" si="52"/>
        <v>236.07274589972803</v>
      </c>
      <c r="AQ136" s="20">
        <f t="shared" si="53"/>
        <v>3.0794383296068743E-5</v>
      </c>
      <c r="AR136" s="20">
        <v>475</v>
      </c>
      <c r="AS136" s="20">
        <f t="shared" si="54"/>
        <v>-1.9341664009350619E-2</v>
      </c>
    </row>
    <row r="137" spans="2:45" x14ac:dyDescent="0.3">
      <c r="B137" s="32">
        <v>203</v>
      </c>
      <c r="C137" s="32">
        <v>128716</v>
      </c>
      <c r="D137" s="7">
        <f t="shared" si="40"/>
        <v>476</v>
      </c>
      <c r="E137" s="17">
        <f>1/$E$29-LN($E$29)+($J$16*EXP($J$16/($D$14*$J$15))/(($D$14*$J$15^2)*(1-1.05*($J$17^1.26))))*'F(T,E)'!F117</f>
        <v>29695.606267395095</v>
      </c>
      <c r="F137" s="17">
        <f>1/$F$29-LN($F$29)+($K$16*EXP($K$16/($D$14*$K$15))/(($D$14*$K$15^2)*(1-1.05*($K$17^1.26))))*'F(T,E)'!G117</f>
        <v>1030.0504921719789</v>
      </c>
      <c r="G137" s="17">
        <f>1/$G$29-LN($G$29)+($L$16*EXP($L$16/($D$14*$L$15))/(($D$14*$L$15^2)*(1-1.05*($L$17^1.26))))*'F(T,E)'!H117</f>
        <v>37.702008665697342</v>
      </c>
      <c r="H137" s="17">
        <f>1/$H$29-LN($H$29)+($M$16*EXP($M$16/($D$14*$M$15))/(($D$14*$M$15^2)*(1-1.05*($M$17^1.26))))*'F(T,E)'!I117</f>
        <v>-8.0231744146500859</v>
      </c>
      <c r="I137" s="17">
        <f>1/$I$29-LN($I$29)+($N$16*EXP($N$16/($D$14*$N$15))/(($D$14*$N$15^2)*(1-1.05*($N$17^1.26))))*'F(T,E)'!J117</f>
        <v>-3.7439820809415822</v>
      </c>
      <c r="J137" s="17">
        <f>1/$J$29-LN($J$29)+($O$16*EXP($O$16/($D$14*$O$15))/(($D$14*$O$15^2)*(1-1.05*($O$17^1.26))))*'F(T,E)'!K117</f>
        <v>-1.6368630360050151</v>
      </c>
      <c r="K137" s="17">
        <f>1/$K$29-LN($K$29)+($P$16*EXP($P$16/($D$14*$P$15))/(($D$14*$P$15^2)*(1-1.05*($P$17^1.26))))*'F(T,E)'!L117</f>
        <v>0.30294554510986171</v>
      </c>
      <c r="L137" s="17">
        <f>1/$L$29-LN($L$29)+($Q$16*EXP($Q$16/($D$14*$Q$15))/(($D$14*$Q$15^2)*(1-1.05*($Q$17^1.26))))*'F(T,E)'!M117</f>
        <v>-1.1827723548802651</v>
      </c>
      <c r="M137" s="17">
        <f>1/$M$29-LN($M$29)+($R$16*EXP($R$16/($D$14*$R$15))/(($D$14*$R$15^2)*(1-1.05*($R$17^1.26))))*'F(T,E)'!N117</f>
        <v>427.09867375760649</v>
      </c>
      <c r="N137" s="17">
        <f>1/$N$29-LN($N$29)+($S$16*EXP($S$16/($D$14*$S$15))/(($D$14*$S$15^2)*(1-1.05*($S$17^1.26))))*'F(T,E)'!O117</f>
        <v>-11.512881592831185</v>
      </c>
      <c r="O137" s="25"/>
      <c r="P137" s="20">
        <f t="shared" si="30"/>
        <v>29685.30768642373</v>
      </c>
      <c r="Q137" s="20">
        <f t="shared" si="31"/>
        <v>1023.1164965573423</v>
      </c>
      <c r="R137" s="20">
        <f t="shared" si="32"/>
        <v>34.170641816700005</v>
      </c>
      <c r="S137" s="20">
        <f t="shared" si="33"/>
        <v>3.2767048117251683E-4</v>
      </c>
      <c r="T137" s="20">
        <f t="shared" si="34"/>
        <v>2.3118986617556792E-2</v>
      </c>
      <c r="U137" s="20">
        <f t="shared" si="35"/>
        <v>0.16499246100417705</v>
      </c>
      <c r="V137" s="20">
        <f t="shared" si="36"/>
        <v>0.68348951224190568</v>
      </c>
      <c r="W137" s="20">
        <f t="shared" si="37"/>
        <v>0.24084196259228521</v>
      </c>
      <c r="X137" s="20">
        <f t="shared" si="38"/>
        <v>421.05590813432224</v>
      </c>
      <c r="Y137" s="20">
        <f t="shared" si="39"/>
        <v>1.0000338723739753E-5</v>
      </c>
      <c r="Z137" s="25"/>
      <c r="AA137" s="20">
        <f t="shared" si="41"/>
        <v>2.4988054606534794E-2</v>
      </c>
      <c r="AB137" s="20">
        <f t="shared" si="42"/>
        <v>1.0162940379875274</v>
      </c>
      <c r="AC137" s="20">
        <f t="shared" si="43"/>
        <v>230.62771694904399</v>
      </c>
      <c r="AD137" s="20">
        <f t="shared" si="44"/>
        <v>19667.968623872726</v>
      </c>
      <c r="AE137" s="20">
        <f t="shared" si="45"/>
        <v>106302.60248359568</v>
      </c>
      <c r="AF137" s="20">
        <f t="shared" si="46"/>
        <v>129.8162068245488</v>
      </c>
      <c r="AG137" s="20">
        <f t="shared" si="47"/>
        <v>6.6890788022217373</v>
      </c>
      <c r="AH137" s="20">
        <f t="shared" si="48"/>
        <v>4.942559590478264E-2</v>
      </c>
      <c r="AI137" s="20">
        <f t="shared" si="49"/>
        <v>0</v>
      </c>
      <c r="AJ137" s="20">
        <v>50</v>
      </c>
      <c r="AK137" s="25"/>
      <c r="AL137" s="20">
        <f t="shared" si="50"/>
        <v>126388.79481773272</v>
      </c>
      <c r="AM137" s="25"/>
      <c r="AN137" s="20">
        <f t="shared" si="51"/>
        <v>5415883.9603716852</v>
      </c>
      <c r="AO137" s="20">
        <f t="shared" si="52"/>
        <v>2327.2051822672802</v>
      </c>
      <c r="AQ137" s="20">
        <f t="shared" si="53"/>
        <v>3.0357103747069477E-4</v>
      </c>
      <c r="AR137" s="20">
        <v>476</v>
      </c>
      <c r="AS137" s="20">
        <f t="shared" si="54"/>
        <v>0.18080154621548838</v>
      </c>
    </row>
    <row r="138" spans="2:45" x14ac:dyDescent="0.3">
      <c r="B138" s="32">
        <v>205</v>
      </c>
      <c r="C138" s="32">
        <v>137152</v>
      </c>
      <c r="D138" s="7">
        <f t="shared" si="40"/>
        <v>478</v>
      </c>
      <c r="E138" s="17">
        <f>1/$E$29-LN($E$29)+($J$16*EXP($J$16/($D$14*$J$15))/(($D$14*$J$15^2)*(1-1.05*($J$17^1.26))))*'F(T,E)'!F118</f>
        <v>33054.686468584914</v>
      </c>
      <c r="F138" s="17">
        <f>1/$F$29-LN($F$29)+($K$16*EXP($K$16/($D$14*$K$15))/(($D$14*$K$15^2)*(1-1.05*($K$17^1.26))))*'F(T,E)'!G118</f>
        <v>1181.2219419078069</v>
      </c>
      <c r="G138" s="17">
        <f>1/$G$29-LN($G$29)+($L$16*EXP($L$16/($D$14*$L$15))/(($D$14*$L$15^2)*(1-1.05*($L$17^1.26))))*'F(T,E)'!H118</f>
        <v>44.155566077087492</v>
      </c>
      <c r="H138" s="17">
        <f>1/$H$29-LN($H$29)+($M$16*EXP($M$16/($D$14*$M$15))/(($D$14*$M$15^2)*(1-1.05*($M$17^1.26))))*'F(T,E)'!I118</f>
        <v>-7.3538660317390763</v>
      </c>
      <c r="I138" s="17">
        <f>1/$I$29-LN($I$29)+($N$16*EXP($N$16/($D$14*$N$15))/(($D$14*$N$15^2)*(1-1.05*($N$17^1.26))))*'F(T,E)'!J118</f>
        <v>-3.6792265731508365</v>
      </c>
      <c r="J138" s="17">
        <f>1/$J$29-LN($J$29)+($O$16*EXP($O$16/($D$14*$O$15))/(($D$14*$O$15^2)*(1-1.05*($O$17^1.26))))*'F(T,E)'!K118</f>
        <v>-1.6334913609809714</v>
      </c>
      <c r="K138" s="17">
        <f>1/$K$29-LN($K$29)+($P$16*EXP($P$16/($D$14*$P$15))/(($D$14*$P$15^2)*(1-1.05*($P$17^1.26))))*'F(T,E)'!L118</f>
        <v>0.30308217696345308</v>
      </c>
      <c r="L138" s="17">
        <f>1/$L$29-LN($L$29)+($Q$16*EXP($Q$16/($D$14*$Q$15))/(($D$14*$Q$15^2)*(1-1.05*($Q$17^1.26))))*'F(T,E)'!M118</f>
        <v>-1.1827708229640466</v>
      </c>
      <c r="M138" s="17">
        <f>1/$M$29-LN($M$29)+($R$16*EXP($R$16/($D$14*$R$15))/(($D$14*$R$15^2)*(1-1.05*($R$17^1.26))))*'F(T,E)'!N118</f>
        <v>443.81604883915674</v>
      </c>
      <c r="N138" s="17">
        <f>1/$N$29-LN($N$29)+($S$16*EXP($S$16/($D$14*$S$15))/(($D$14*$S$15^2)*(1-1.05*($S$17^1.26))))*'F(T,E)'!O118</f>
        <v>-11.512876974727225</v>
      </c>
      <c r="O138" s="25"/>
      <c r="P138" s="20">
        <f t="shared" si="30"/>
        <v>33044.280707354927</v>
      </c>
      <c r="Q138" s="20">
        <f t="shared" si="31"/>
        <v>1174.1506316679897</v>
      </c>
      <c r="R138" s="20">
        <f t="shared" si="32"/>
        <v>40.455366765848552</v>
      </c>
      <c r="S138" s="20">
        <f t="shared" si="33"/>
        <v>6.3970352235574366E-4</v>
      </c>
      <c r="T138" s="20">
        <f t="shared" si="34"/>
        <v>2.46284013757989E-2</v>
      </c>
      <c r="U138" s="20">
        <f t="shared" si="35"/>
        <v>0.16547056911550326</v>
      </c>
      <c r="V138" s="20">
        <f t="shared" si="36"/>
        <v>0.68354498552482446</v>
      </c>
      <c r="W138" s="20">
        <f t="shared" si="37"/>
        <v>0.24084225993062744</v>
      </c>
      <c r="X138" s="20">
        <f t="shared" si="38"/>
        <v>437.7344364221986</v>
      </c>
      <c r="Y138" s="20">
        <f t="shared" si="39"/>
        <v>1.000038490598841E-5</v>
      </c>
      <c r="Z138" s="25"/>
      <c r="AA138" s="20">
        <f t="shared" si="41"/>
        <v>2.2268268075510852E-2</v>
      </c>
      <c r="AB138" s="20">
        <f t="shared" si="42"/>
        <v>0.87736078658833283</v>
      </c>
      <c r="AC138" s="20">
        <f t="shared" si="43"/>
        <v>189.89661233112872</v>
      </c>
      <c r="AD138" s="20">
        <f t="shared" si="44"/>
        <v>11905.233569068858</v>
      </c>
      <c r="AE138" s="20">
        <f t="shared" si="45"/>
        <v>124709.81338506045</v>
      </c>
      <c r="AF138" s="20">
        <f t="shared" si="46"/>
        <v>154.43640526514292</v>
      </c>
      <c r="AG138" s="20">
        <f t="shared" si="47"/>
        <v>8.4386905022287326</v>
      </c>
      <c r="AH138" s="20">
        <f t="shared" si="48"/>
        <v>6.2999888089000325E-2</v>
      </c>
      <c r="AI138" s="20">
        <f t="shared" si="49"/>
        <v>0</v>
      </c>
      <c r="AJ138" s="20">
        <v>50</v>
      </c>
      <c r="AK138" s="25"/>
      <c r="AL138" s="20">
        <f t="shared" si="50"/>
        <v>137018.78129117057</v>
      </c>
      <c r="AM138" s="25"/>
      <c r="AN138" s="20">
        <f t="shared" si="51"/>
        <v>17747.224382180557</v>
      </c>
      <c r="AO138" s="20">
        <f t="shared" si="52"/>
        <v>133.2187088294304</v>
      </c>
      <c r="AQ138" s="20">
        <f t="shared" si="53"/>
        <v>1.7377643345764899E-5</v>
      </c>
      <c r="AR138" s="20">
        <v>478</v>
      </c>
      <c r="AS138" s="20">
        <f t="shared" si="54"/>
        <v>9.7132166377034528E-3</v>
      </c>
    </row>
    <row r="139" spans="2:45" x14ac:dyDescent="0.3">
      <c r="B139" s="32">
        <v>206</v>
      </c>
      <c r="C139" s="32">
        <v>146526</v>
      </c>
      <c r="D139" s="7">
        <f t="shared" si="40"/>
        <v>479</v>
      </c>
      <c r="E139" s="17">
        <f>1/$E$29-LN($E$29)+($J$16*EXP($J$16/($D$14*$J$15))/(($D$14*$J$15^2)*(1-1.05*($J$17^1.26))))*'F(T,E)'!F119</f>
        <v>34862.832190413646</v>
      </c>
      <c r="F139" s="17">
        <f>1/$F$29-LN($F$29)+($K$16*EXP($K$16/($D$14*$K$15))/(($D$14*$K$15^2)*(1-1.05*($K$17^1.26))))*'F(T,E)'!G119</f>
        <v>1264.3711259479144</v>
      </c>
      <c r="G139" s="17">
        <f>1/$G$29-LN($G$29)+($L$16*EXP($L$16/($D$14*$L$15))/(($D$14*$L$15^2)*(1-1.05*($L$17^1.26))))*'F(T,E)'!H119</f>
        <v>47.733333639872328</v>
      </c>
      <c r="H139" s="17">
        <f>1/$H$29-LN($H$29)+($M$16*EXP($M$16/($D$14*$M$15))/(($D$14*$M$15^2)*(1-1.05*($M$17^1.26))))*'F(T,E)'!I119</f>
        <v>-6.9749488631115311</v>
      </c>
      <c r="I139" s="17">
        <f>1/$I$29-LN($I$29)+($N$16*EXP($N$16/($D$14*$N$15))/(($D$14*$N$15^2)*(1-1.05*($N$17^1.26))))*'F(T,E)'!J119</f>
        <v>-3.6409925867906252</v>
      </c>
      <c r="J139" s="17">
        <f>1/$J$29-LN($J$29)+($O$16*EXP($O$16/($D$14*$O$15))/(($D$14*$O$15^2)*(1-1.05*($O$17^1.26))))*'F(T,E)'!K119</f>
        <v>-1.6315688848787675</v>
      </c>
      <c r="K139" s="17">
        <f>1/$K$29-LN($K$29)+($P$16*EXP($P$16/($D$14*$P$15))/(($D$14*$P$15^2)*(1-1.05*($P$17^1.26))))*'F(T,E)'!L119</f>
        <v>0.30316332692123582</v>
      </c>
      <c r="L139" s="17">
        <f>1/$L$29-LN($L$29)+($Q$16*EXP($Q$16/($D$14*$Q$15))/(($D$14*$Q$15^2)*(1-1.05*($Q$17^1.26))))*'F(T,E)'!M119</f>
        <v>-1.1827699062809853</v>
      </c>
      <c r="M139" s="17">
        <f>1/$M$29-LN($M$29)+($R$16*EXP($R$16/($D$14*$R$15))/(($D$14*$R$15^2)*(1-1.05*($R$17^1.26))))*'F(T,E)'!N119</f>
        <v>452.36118630018603</v>
      </c>
      <c r="N139" s="17">
        <f>1/$N$29-LN($N$29)+($S$16*EXP($S$16/($D$14*$S$15))/(($D$14*$S$15^2)*(1-1.05*($S$17^1.26))))*'F(T,E)'!O119</f>
        <v>-11.512874357588249</v>
      </c>
      <c r="O139" s="25"/>
      <c r="P139" s="20">
        <f t="shared" si="30"/>
        <v>34852.373163857854</v>
      </c>
      <c r="Q139" s="20">
        <f t="shared" si="31"/>
        <v>1257.2316202635293</v>
      </c>
      <c r="R139" s="20">
        <f t="shared" si="32"/>
        <v>43.950274764019625</v>
      </c>
      <c r="S139" s="20">
        <f t="shared" si="33"/>
        <v>9.3414115251516964E-4</v>
      </c>
      <c r="T139" s="20">
        <f t="shared" si="34"/>
        <v>2.5564338517806571E-2</v>
      </c>
      <c r="U139" s="20">
        <f t="shared" si="35"/>
        <v>0.16574371063630816</v>
      </c>
      <c r="V139" s="20">
        <f t="shared" si="36"/>
        <v>0.68357793411917289</v>
      </c>
      <c r="W139" s="20">
        <f t="shared" si="37"/>
        <v>0.24084243785500425</v>
      </c>
      <c r="X139" s="20">
        <f t="shared" si="38"/>
        <v>446.26028392215403</v>
      </c>
      <c r="Y139" s="20">
        <f t="shared" si="39"/>
        <v>1.0000411078158046E-5</v>
      </c>
      <c r="Z139" s="25"/>
      <c r="AA139" s="20">
        <f t="shared" si="41"/>
        <v>2.1028639200053906E-2</v>
      </c>
      <c r="AB139" s="20">
        <f t="shared" si="42"/>
        <v>0.81563551179399141</v>
      </c>
      <c r="AC139" s="20">
        <f t="shared" si="43"/>
        <v>172.72525811773008</v>
      </c>
      <c r="AD139" s="20">
        <f t="shared" si="44"/>
        <v>8856.7932397963177</v>
      </c>
      <c r="AE139" s="20">
        <f t="shared" si="45"/>
        <v>134193.89628965608</v>
      </c>
      <c r="AF139" s="20">
        <f t="shared" si="46"/>
        <v>168.3134239349626</v>
      </c>
      <c r="AG139" s="20">
        <f t="shared" si="47"/>
        <v>9.4712788783317361</v>
      </c>
      <c r="AH139" s="20">
        <f t="shared" si="48"/>
        <v>7.1072831903499875E-2</v>
      </c>
      <c r="AI139" s="20">
        <f t="shared" si="49"/>
        <v>0</v>
      </c>
      <c r="AJ139" s="20">
        <v>50</v>
      </c>
      <c r="AK139" s="25"/>
      <c r="AL139" s="20">
        <f t="shared" si="50"/>
        <v>143452.10722736633</v>
      </c>
      <c r="AM139" s="25"/>
      <c r="AN139" s="20">
        <f t="shared" si="51"/>
        <v>9448816.7776495088</v>
      </c>
      <c r="AO139" s="20">
        <f t="shared" si="52"/>
        <v>3073.8927726336697</v>
      </c>
      <c r="AQ139" s="20">
        <f t="shared" si="53"/>
        <v>4.0097230152820348E-4</v>
      </c>
      <c r="AR139" s="20">
        <v>479</v>
      </c>
      <c r="AS139" s="20">
        <f t="shared" si="54"/>
        <v>0.2097848008294548</v>
      </c>
    </row>
    <row r="140" spans="2:45" x14ac:dyDescent="0.3">
      <c r="B140" s="32">
        <v>208</v>
      </c>
      <c r="C140" s="32">
        <v>155500</v>
      </c>
      <c r="D140" s="7">
        <f t="shared" si="40"/>
        <v>481</v>
      </c>
      <c r="E140" s="17">
        <f>1/$E$29-LN($E$29)+($J$16*EXP($J$16/($D$14*$J$15))/(($D$14*$J$15^2)*(1-1.05*($J$17^1.26))))*'F(T,E)'!F120</f>
        <v>38756.382858687277</v>
      </c>
      <c r="F140" s="17">
        <f>1/$F$29-LN($F$29)+($K$16*EXP($K$16/($D$14*$K$15))/(($D$14*$K$15^2)*(1-1.05*($K$17^1.26))))*'F(T,E)'!G120</f>
        <v>1447.3738090576323</v>
      </c>
      <c r="G140" s="17">
        <f>1/$G$29-LN($G$29)+($L$16*EXP($L$16/($D$14*$L$15))/(($D$14*$L$15^2)*(1-1.05*($L$17^1.26))))*'F(T,E)'!H120</f>
        <v>55.670922738817652</v>
      </c>
      <c r="H140" s="17">
        <f>1/$H$29-LN($H$29)+($M$16*EXP($M$16/($D$14*$M$15))/(($D$14*$M$15^2)*(1-1.05*($M$17^1.26))))*'F(T,E)'!I120</f>
        <v>-6.1161434385480833</v>
      </c>
      <c r="I140" s="17">
        <f>1/$I$29-LN($I$29)+($N$16*EXP($N$16/($D$14*$N$15))/(($D$14*$N$15^2)*(1-1.05*($N$17^1.26))))*'F(T,E)'!J120</f>
        <v>-3.5505182225107017</v>
      </c>
      <c r="J140" s="17">
        <f>1/$J$29-LN($J$29)+($O$16*EXP($O$16/($D$14*$O$15))/(($D$14*$O$15^2)*(1-1.05*($O$17^1.26))))*'F(T,E)'!K120</f>
        <v>-1.6271797788114479</v>
      </c>
      <c r="K140" s="17">
        <f>1/$K$29-LN($K$29)+($P$16*EXP($P$16/($D$14*$P$15))/(($D$14*$P$15^2)*(1-1.05*($P$17^1.26))))*'F(T,E)'!L120</f>
        <v>0.30335652731896151</v>
      </c>
      <c r="L140" s="17">
        <f>1/$L$29-LN($L$29)+($Q$16*EXP($Q$16/($D$14*$Q$15))/(($D$14*$Q$15^2)*(1-1.05*($Q$17^1.26))))*'F(T,E)'!M120</f>
        <v>-1.1827677069350082</v>
      </c>
      <c r="M140" s="17">
        <f>1/$M$29-LN($M$29)+($R$16*EXP($R$16/($D$14*$R$15))/(($D$14*$R$15^2)*(1-1.05*($R$17^1.26))))*'F(T,E)'!N120</f>
        <v>469.83078211287165</v>
      </c>
      <c r="N140" s="17">
        <f>1/$N$29-LN($N$29)+($S$16*EXP($S$16/($D$14*$S$15))/(($D$14*$S$15^2)*(1-1.05*($S$17^1.26))))*'F(T,E)'!O120</f>
        <v>-11.512868419704146</v>
      </c>
      <c r="O140" s="25"/>
      <c r="P140" s="20">
        <f t="shared" si="30"/>
        <v>38745.817944247909</v>
      </c>
      <c r="Q140" s="20">
        <f t="shared" si="31"/>
        <v>1440.0988170687071</v>
      </c>
      <c r="R140" s="20">
        <f t="shared" si="32"/>
        <v>51.724981865775277</v>
      </c>
      <c r="S140" s="20">
        <f t="shared" si="33"/>
        <v>2.2020962424753468E-3</v>
      </c>
      <c r="T140" s="20">
        <f t="shared" si="34"/>
        <v>2.7919287791813737E-2</v>
      </c>
      <c r="U140" s="20">
        <f t="shared" si="35"/>
        <v>0.16636875569141704</v>
      </c>
      <c r="V140" s="20">
        <f t="shared" si="36"/>
        <v>0.68365638135171247</v>
      </c>
      <c r="W140" s="20">
        <f t="shared" si="37"/>
        <v>0.2408428647393604</v>
      </c>
      <c r="X140" s="20">
        <f t="shared" si="38"/>
        <v>463.69156251763366</v>
      </c>
      <c r="Y140" s="20">
        <f t="shared" si="39"/>
        <v>1.000047045902247E-5</v>
      </c>
      <c r="Z140" s="25"/>
      <c r="AA140" s="20">
        <f t="shared" si="41"/>
        <v>1.8765186014972027E-2</v>
      </c>
      <c r="AB140" s="20">
        <f t="shared" si="42"/>
        <v>0.70565692787261902</v>
      </c>
      <c r="AC140" s="20">
        <f t="shared" si="43"/>
        <v>143.51934384697284</v>
      </c>
      <c r="AD140" s="20">
        <f t="shared" si="44"/>
        <v>4426.4222462437838</v>
      </c>
      <c r="AE140" s="20">
        <f t="shared" si="45"/>
        <v>153008.93304310236</v>
      </c>
      <c r="AF140" s="20">
        <f t="shared" si="46"/>
        <v>199.59477843383667</v>
      </c>
      <c r="AG140" s="20">
        <f t="shared" si="47"/>
        <v>11.913484805404302</v>
      </c>
      <c r="AH140" s="20">
        <f t="shared" si="48"/>
        <v>9.0318758643692335E-2</v>
      </c>
      <c r="AI140" s="20">
        <f t="shared" si="49"/>
        <v>0</v>
      </c>
      <c r="AJ140" s="20">
        <v>50</v>
      </c>
      <c r="AK140" s="25"/>
      <c r="AL140" s="20">
        <f t="shared" si="50"/>
        <v>157841.1976373049</v>
      </c>
      <c r="AM140" s="25"/>
      <c r="AN140" s="20">
        <f t="shared" si="51"/>
        <v>5481206.37692203</v>
      </c>
      <c r="AO140" s="20">
        <f t="shared" si="52"/>
        <v>2341.1976373048965</v>
      </c>
      <c r="AQ140" s="20">
        <f t="shared" si="53"/>
        <v>3.053962757972926E-4</v>
      </c>
      <c r="AR140" s="20">
        <v>481</v>
      </c>
      <c r="AS140" s="20">
        <f t="shared" si="54"/>
        <v>-0.15055933358873932</v>
      </c>
    </row>
    <row r="141" spans="2:45" x14ac:dyDescent="0.3">
      <c r="B141" s="32">
        <v>209</v>
      </c>
      <c r="C141" s="32">
        <v>167604</v>
      </c>
      <c r="D141" s="7">
        <f t="shared" si="40"/>
        <v>482</v>
      </c>
      <c r="E141" s="17">
        <f>1/$E$29-LN($E$29)+($J$16*EXP($J$16/($D$14*$J$15))/(($D$14*$J$15^2)*(1-1.05*($J$17^1.26))))*'F(T,E)'!F121</f>
        <v>40850.308451706602</v>
      </c>
      <c r="F141" s="17">
        <f>1/$F$29-LN($F$29)+($K$16*EXP($K$16/($D$14*$K$15))/(($D$14*$K$15^2)*(1-1.05*($K$17^1.26))))*'F(T,E)'!G121</f>
        <v>1547.9123800281589</v>
      </c>
      <c r="G141" s="17">
        <f>1/$G$29-LN($G$29)+($L$16*EXP($L$16/($D$14*$L$15))/(($D$14*$L$15^2)*(1-1.05*($L$17^1.26))))*'F(T,E)'!H121</f>
        <v>60.065797521563518</v>
      </c>
      <c r="H141" s="17">
        <f>1/$H$29-LN($H$29)+($M$16*EXP($M$16/($D$14*$M$15))/(($D$14*$M$15^2)*(1-1.05*($M$17^1.26))))*'F(T,E)'!I121</f>
        <v>-5.6306917758820774</v>
      </c>
      <c r="I141" s="17">
        <f>1/$I$29-LN($I$29)+($N$16*EXP($N$16/($D$14*$N$15))/(($D$14*$N$15^2)*(1-1.05*($N$17^1.26))))*'F(T,E)'!J121</f>
        <v>-3.4972082712494004</v>
      </c>
      <c r="J141" s="17">
        <f>1/$J$29-LN($J$29)+($O$16*EXP($O$16/($D$14*$O$15))/(($D$14*$O$15^2)*(1-1.05*($O$17^1.26))))*'F(T,E)'!K121</f>
        <v>-1.6246812374063138</v>
      </c>
      <c r="K141" s="17">
        <f>1/$K$29-LN($K$29)+($P$16*EXP($P$16/($D$14*$P$15))/(($D$14*$P$15^2)*(1-1.05*($P$17^1.26))))*'F(T,E)'!L121</f>
        <v>0.30347103192486302</v>
      </c>
      <c r="L141" s="17">
        <f>1/$L$29-LN($L$29)+($Q$16*EXP($Q$16/($D$14*$Q$15))/(($D$14*$Q$15^2)*(1-1.05*($Q$17^1.26))))*'F(T,E)'!M121</f>
        <v>-1.1827663937777066</v>
      </c>
      <c r="M141" s="17">
        <f>1/$M$29-LN($M$29)+($R$16*EXP($R$16/($D$14*$R$15))/(($D$14*$R$15^2)*(1-1.05*($R$17^1.26))))*'F(T,E)'!N121</f>
        <v>478.75782661800883</v>
      </c>
      <c r="N141" s="17">
        <f>1/$N$29-LN($N$29)+($S$16*EXP($S$16/($D$14*$S$15))/(($D$14*$S$15^2)*(1-1.05*($S$17^1.26))))*'F(T,E)'!O121</f>
        <v>-11.512865059833674</v>
      </c>
      <c r="O141" s="25"/>
      <c r="P141" s="20">
        <f t="shared" si="30"/>
        <v>40839.690912013757</v>
      </c>
      <c r="Q141" s="20">
        <f t="shared" si="31"/>
        <v>1540.5700900189381</v>
      </c>
      <c r="R141" s="20">
        <f t="shared" si="32"/>
        <v>56.039736502067448</v>
      </c>
      <c r="S141" s="20">
        <f t="shared" si="33"/>
        <v>3.5733023661011516E-3</v>
      </c>
      <c r="T141" s="20">
        <f t="shared" si="34"/>
        <v>2.9404351004020012E-2</v>
      </c>
      <c r="U141" s="20">
        <f t="shared" si="35"/>
        <v>0.16672547057847223</v>
      </c>
      <c r="V141" s="20">
        <f t="shared" si="36"/>
        <v>0.6837028774101912</v>
      </c>
      <c r="W141" s="20">
        <f t="shared" si="37"/>
        <v>0.24084311961829005</v>
      </c>
      <c r="X141" s="20">
        <f t="shared" si="38"/>
        <v>472.59957814588046</v>
      </c>
      <c r="Y141" s="20">
        <f t="shared" si="39"/>
        <v>1.0000504059028306E-5</v>
      </c>
      <c r="Z141" s="25"/>
      <c r="AA141" s="20">
        <f t="shared" si="41"/>
        <v>1.7732443555166726E-2</v>
      </c>
      <c r="AB141" s="20">
        <f t="shared" si="42"/>
        <v>0.65670083162118231</v>
      </c>
      <c r="AC141" s="20">
        <f t="shared" si="43"/>
        <v>131.08618956361005</v>
      </c>
      <c r="AD141" s="20">
        <f t="shared" si="44"/>
        <v>2957.176540300241</v>
      </c>
      <c r="AE141" s="20">
        <f t="shared" si="45"/>
        <v>161960.07104309395</v>
      </c>
      <c r="AF141" s="20">
        <f t="shared" si="46"/>
        <v>217.16956315284861</v>
      </c>
      <c r="AG141" s="20">
        <f t="shared" si="47"/>
        <v>13.351717881088522</v>
      </c>
      <c r="AH141" s="20">
        <f t="shared" si="48"/>
        <v>0.10173986449852787</v>
      </c>
      <c r="AI141" s="20">
        <f t="shared" si="49"/>
        <v>0</v>
      </c>
      <c r="AJ141" s="20">
        <v>50</v>
      </c>
      <c r="AK141" s="25"/>
      <c r="AL141" s="20">
        <f t="shared" si="50"/>
        <v>165329.63122713144</v>
      </c>
      <c r="AM141" s="25"/>
      <c r="AN141" s="20">
        <f t="shared" si="51"/>
        <v>5172753.3149996474</v>
      </c>
      <c r="AO141" s="20">
        <f t="shared" si="52"/>
        <v>2274.3687728685618</v>
      </c>
      <c r="AQ141" s="20">
        <f t="shared" si="53"/>
        <v>2.966788202568397E-4</v>
      </c>
      <c r="AR141" s="20">
        <v>482</v>
      </c>
      <c r="AS141" s="20">
        <f t="shared" si="54"/>
        <v>0.13569895544668156</v>
      </c>
    </row>
    <row r="142" spans="2:45" x14ac:dyDescent="0.3">
      <c r="B142" s="32">
        <v>211</v>
      </c>
      <c r="C142" s="32">
        <v>178652</v>
      </c>
      <c r="D142" s="7">
        <f t="shared" si="40"/>
        <v>484</v>
      </c>
      <c r="E142" s="17">
        <f>1/$E$29-LN($E$29)+($J$16*EXP($J$16/($D$14*$J$15))/(($D$14*$J$15^2)*(1-1.05*($J$17^1.26))))*'F(T,E)'!F122</f>
        <v>45355.089185065612</v>
      </c>
      <c r="F142" s="17">
        <f>1/$F$29-LN($F$29)+($K$16*EXP($K$16/($D$14*$K$15))/(($D$14*$K$15^2)*(1-1.05*($K$17^1.26))))*'F(T,E)'!G122</f>
        <v>1768.9232836979052</v>
      </c>
      <c r="G142" s="17">
        <f>1/$G$29-LN($G$29)+($L$16*EXP($L$16/($D$14*$L$15))/(($D$14*$L$15^2)*(1-1.05*($L$17^1.26))))*'F(T,E)'!H122</f>
        <v>69.803600832627879</v>
      </c>
      <c r="H142" s="17">
        <f>1/$H$29-LN($H$29)+($M$16*EXP($M$16/($D$14*$M$15))/(($D$14*$M$15^2)*(1-1.05*($M$17^1.26))))*'F(T,E)'!I122</f>
        <v>-4.5321459494745673</v>
      </c>
      <c r="I142" s="17">
        <f>1/$I$29-LN($I$29)+($N$16*EXP($N$16/($D$14*$N$15))/(($D$14*$N$15^2)*(1-1.05*($N$17^1.26))))*'F(T,E)'!J122</f>
        <v>-3.3713243611956014</v>
      </c>
      <c r="J142" s="17">
        <f>1/$J$29-LN($J$29)+($O$16*EXP($O$16/($D$14*$O$15))/(($D$14*$O$15^2)*(1-1.05*($O$17^1.26))))*'F(T,E)'!K122</f>
        <v>-1.6189863700903573</v>
      </c>
      <c r="K142" s="17">
        <f>1/$K$29-LN($K$29)+($P$16*EXP($P$16/($D$14*$P$15))/(($D$14*$P$15^2)*(1-1.05*($P$17^1.26))))*'F(T,E)'!L122</f>
        <v>0.30374304844935113</v>
      </c>
      <c r="L142" s="17">
        <f>1/$L$29-LN($L$29)+($Q$16*EXP($Q$16/($D$14*$Q$15))/(($D$14*$Q$15^2)*(1-1.05*($Q$17^1.26))))*'F(T,E)'!M122</f>
        <v>-1.1827632503654295</v>
      </c>
      <c r="M142" s="17">
        <f>1/$M$29-LN($M$29)+($R$16*EXP($R$16/($D$14*$R$15))/(($D$14*$R$15^2)*(1-1.05*($R$17^1.26))))*'F(T,E)'!N122</f>
        <v>497.00291802381861</v>
      </c>
      <c r="N142" s="17">
        <f>1/$N$29-LN($N$29)+($S$16*EXP($S$16/($D$14*$S$15))/(($D$14*$S$15^2)*(1-1.05*($S$17^1.26))))*'F(T,E)'!O122</f>
        <v>-11.512857448803398</v>
      </c>
      <c r="O142" s="25"/>
      <c r="P142" s="20">
        <f t="shared" si="30"/>
        <v>45344.367025599873</v>
      </c>
      <c r="Q142" s="20">
        <f t="shared" si="31"/>
        <v>1761.4472711226192</v>
      </c>
      <c r="R142" s="20">
        <f t="shared" si="32"/>
        <v>65.619724503466031</v>
      </c>
      <c r="S142" s="20">
        <f t="shared" si="33"/>
        <v>1.0643673267473671E-2</v>
      </c>
      <c r="T142" s="20">
        <f t="shared" si="34"/>
        <v>3.3221891021910616E-2</v>
      </c>
      <c r="U142" s="20">
        <f t="shared" si="35"/>
        <v>0.16754097294470097</v>
      </c>
      <c r="V142" s="20">
        <f t="shared" si="36"/>
        <v>0.68381334072625632</v>
      </c>
      <c r="W142" s="20">
        <f t="shared" si="37"/>
        <v>0.24084372974376031</v>
      </c>
      <c r="X142" s="20">
        <f t="shared" si="38"/>
        <v>490.80686731898726</v>
      </c>
      <c r="Y142" s="20">
        <f t="shared" si="39"/>
        <v>1.0000580172695941E-5</v>
      </c>
      <c r="Z142" s="25"/>
      <c r="AA142" s="20">
        <f t="shared" si="41"/>
        <v>1.5844795144926507E-2</v>
      </c>
      <c r="AB142" s="20">
        <f t="shared" si="42"/>
        <v>0.56931544569887005</v>
      </c>
      <c r="AC142" s="20">
        <f t="shared" si="43"/>
        <v>109.75717824123501</v>
      </c>
      <c r="AD142" s="20">
        <f t="shared" si="44"/>
        <v>1160.5608384279656</v>
      </c>
      <c r="AE142" s="20">
        <f t="shared" si="45"/>
        <v>177764.7184322832</v>
      </c>
      <c r="AF142" s="20">
        <f t="shared" si="46"/>
        <v>256.64596804042611</v>
      </c>
      <c r="AG142" s="20">
        <f t="shared" si="47"/>
        <v>16.745730023911243</v>
      </c>
      <c r="AH142" s="20">
        <f t="shared" si="48"/>
        <v>0.12890692515003846</v>
      </c>
      <c r="AI142" s="20">
        <f t="shared" si="49"/>
        <v>0</v>
      </c>
      <c r="AJ142" s="20">
        <v>50</v>
      </c>
      <c r="AK142" s="25"/>
      <c r="AL142" s="20">
        <f t="shared" si="50"/>
        <v>179359.14221418274</v>
      </c>
      <c r="AM142" s="25"/>
      <c r="AN142" s="20">
        <f t="shared" si="51"/>
        <v>500050.11107926135</v>
      </c>
      <c r="AO142" s="20">
        <f t="shared" si="52"/>
        <v>707.14221418273519</v>
      </c>
      <c r="AQ142" s="20">
        <f t="shared" si="53"/>
        <v>9.2242788575108332E-5</v>
      </c>
      <c r="AR142" s="20">
        <v>484</v>
      </c>
      <c r="AS142" s="20">
        <f t="shared" si="54"/>
        <v>-3.9582104548660818E-2</v>
      </c>
    </row>
    <row r="143" spans="2:45" x14ac:dyDescent="0.3">
      <c r="B143" s="32">
        <v>212</v>
      </c>
      <c r="C143" s="32">
        <v>188239</v>
      </c>
      <c r="D143" s="7">
        <f t="shared" si="40"/>
        <v>485</v>
      </c>
      <c r="E143" s="17">
        <f>1/$E$29-LN($E$29)+($J$16*EXP($J$16/($D$14*$J$15))/(($D$14*$J$15^2)*(1-1.05*($J$17^1.26))))*'F(T,E)'!F123</f>
        <v>47775.55393764138</v>
      </c>
      <c r="F143" s="17">
        <f>1/$F$29-LN($F$29)+($K$16*EXP($K$16/($D$14*$K$15))/(($D$14*$K$15^2)*(1-1.05*($K$17^1.26))))*'F(T,E)'!G123</f>
        <v>1890.2022351594026</v>
      </c>
      <c r="G143" s="17">
        <f>1/$G$29-LN($G$29)+($L$16*EXP($L$16/($D$14*$L$15))/(($D$14*$L$15^2)*(1-1.05*($L$17^1.26))))*'F(T,E)'!H123</f>
        <v>75.188456333173917</v>
      </c>
      <c r="H143" s="17">
        <f>1/$H$29-LN($H$29)+($M$16*EXP($M$16/($D$14*$M$15))/(($D$14*$M$15^2)*(1-1.05*($M$17^1.26))))*'F(T,E)'!I123</f>
        <v>-3.9121128991016452</v>
      </c>
      <c r="I143" s="17">
        <f>1/$I$29-LN($I$29)+($N$16*EXP($N$16/($D$14*$N$15))/(($D$14*$N$15^2)*(1-1.05*($N$17^1.26))))*'F(T,E)'!J123</f>
        <v>-3.2972992360127256</v>
      </c>
      <c r="J143" s="17">
        <f>1/$J$29-LN($J$29)+($O$16*EXP($O$16/($D$14*$O$15))/(($D$14*$O$15^2)*(1-1.05*($O$17^1.26))))*'F(T,E)'!K123</f>
        <v>-1.6157496714791937</v>
      </c>
      <c r="K143" s="17">
        <f>1/$K$29-LN($K$29)+($P$16*EXP($P$16/($D$14*$P$15))/(($D$14*$P$15^2)*(1-1.05*($P$17^1.26))))*'F(T,E)'!L123</f>
        <v>0.30390392979807296</v>
      </c>
      <c r="L143" s="17">
        <f>1/$L$29-LN($L$29)+($Q$16*EXP($Q$16/($D$14*$Q$15))/(($D$14*$Q$15^2)*(1-1.05*($Q$17^1.26))))*'F(T,E)'!M123</f>
        <v>-1.1827613776096959</v>
      </c>
      <c r="M143" s="17">
        <f>1/$M$29-LN($M$29)+($R$16*EXP($R$16/($D$14*$R$15))/(($D$14*$R$15^2)*(1-1.05*($R$17^1.26))))*'F(T,E)'!N123</f>
        <v>506.32358594458213</v>
      </c>
      <c r="N143" s="17">
        <f>1/$N$29-LN($N$29)+($S$16*EXP($S$16/($D$14*$S$15))/(($D$14*$S$15^2)*(1-1.05*($S$17^1.26))))*'F(T,E)'!O123</f>
        <v>-11.512853148744959</v>
      </c>
      <c r="O143" s="25"/>
      <c r="P143" s="20">
        <f t="shared" si="30"/>
        <v>47764.77978103685</v>
      </c>
      <c r="Q143" s="20">
        <f t="shared" si="31"/>
        <v>1882.6597917241625</v>
      </c>
      <c r="R143" s="20">
        <f t="shared" si="32"/>
        <v>70.92680786301861</v>
      </c>
      <c r="S143" s="20">
        <f t="shared" si="33"/>
        <v>1.9609860363736839E-2</v>
      </c>
      <c r="T143" s="20">
        <f t="shared" si="34"/>
        <v>3.5686399281423621E-2</v>
      </c>
      <c r="U143" s="20">
        <f t="shared" si="35"/>
        <v>0.16800598769473313</v>
      </c>
      <c r="V143" s="20">
        <f t="shared" si="36"/>
        <v>0.68387867809537883</v>
      </c>
      <c r="W143" s="20">
        <f t="shared" si="37"/>
        <v>0.24084409323977457</v>
      </c>
      <c r="X143" s="20">
        <f t="shared" si="38"/>
        <v>500.10876034911593</v>
      </c>
      <c r="Y143" s="20">
        <f t="shared" si="39"/>
        <v>1.0000623175437513E-5</v>
      </c>
      <c r="Z143" s="25"/>
      <c r="AA143" s="20">
        <f t="shared" si="41"/>
        <v>1.4982619121480144E-2</v>
      </c>
      <c r="AB143" s="20">
        <f t="shared" si="42"/>
        <v>0.53034640929426291</v>
      </c>
      <c r="AC143" s="20">
        <f t="shared" si="43"/>
        <v>100.6020442805918</v>
      </c>
      <c r="AD143" s="20">
        <f t="shared" si="44"/>
        <v>677.11200770027176</v>
      </c>
      <c r="AE143" s="20">
        <f t="shared" si="45"/>
        <v>184063.42587759701</v>
      </c>
      <c r="AF143" s="20">
        <f t="shared" si="46"/>
        <v>278.74363640514588</v>
      </c>
      <c r="AG143" s="20">
        <f t="shared" si="47"/>
        <v>18.740190543939867</v>
      </c>
      <c r="AH143" s="20">
        <f t="shared" si="48"/>
        <v>0.14499424817891507</v>
      </c>
      <c r="AI143" s="20">
        <f t="shared" si="49"/>
        <v>0</v>
      </c>
      <c r="AJ143" s="20">
        <v>50</v>
      </c>
      <c r="AK143" s="25"/>
      <c r="AL143" s="20">
        <f t="shared" si="50"/>
        <v>185189.31407980353</v>
      </c>
      <c r="AM143" s="25"/>
      <c r="AN143" s="20">
        <f t="shared" si="51"/>
        <v>9300584.211844584</v>
      </c>
      <c r="AO143" s="20">
        <f t="shared" si="52"/>
        <v>3049.6859201964689</v>
      </c>
      <c r="AQ143" s="20">
        <f t="shared" si="53"/>
        <v>3.9781465158643869E-4</v>
      </c>
      <c r="AR143" s="20">
        <v>485</v>
      </c>
      <c r="AS143" s="20">
        <f t="shared" si="54"/>
        <v>0.16201137491149387</v>
      </c>
    </row>
    <row r="144" spans="2:45" x14ac:dyDescent="0.3">
      <c r="B144" s="32">
        <v>214</v>
      </c>
      <c r="C144" s="32">
        <v>193439</v>
      </c>
      <c r="D144" s="7">
        <f t="shared" si="40"/>
        <v>487</v>
      </c>
      <c r="E144" s="17">
        <f>1/$E$29-LN($E$29)+($J$16*EXP($J$16/($D$14*$J$15))/(($D$14*$J$15^2)*(1-1.05*($J$17^1.26))))*'F(T,E)'!F124</f>
        <v>52978.13209256249</v>
      </c>
      <c r="F144" s="17">
        <f>1/$F$29-LN($F$29)+($K$16*EXP($K$16/($D$14*$K$15))/(($D$14*$K$15^2)*(1-1.05*($K$17^1.26))))*'F(T,E)'!G124</f>
        <v>2156.4939164738698</v>
      </c>
      <c r="G144" s="17">
        <f>1/$G$29-LN($G$29)+($L$16*EXP($L$16/($D$14*$L$15))/(($D$14*$L$15^2)*(1-1.05*($L$17^1.26))))*'F(T,E)'!H124</f>
        <v>87.104635119687686</v>
      </c>
      <c r="H144" s="17">
        <f>1/$H$29-LN($H$29)+($M$16*EXP($M$16/($D$14*$M$15))/(($D$14*$M$15^2)*(1-1.05*($M$17^1.26))))*'F(T,E)'!I124</f>
        <v>-2.5111670035008835</v>
      </c>
      <c r="I144" s="17">
        <f>1/$I$29-LN($I$29)+($N$16*EXP($N$16/($D$14*$N$15))/(($D$14*$N$15^2)*(1-1.05*($N$17^1.26))))*'F(T,E)'!J124</f>
        <v>-3.1228600060199474</v>
      </c>
      <c r="J144" s="17">
        <f>1/$J$29-LN($J$29)+($O$16*EXP($O$16/($D$14*$O$15))/(($D$14*$O$15^2)*(1-1.05*($O$17^1.26))))*'F(T,E)'!K124</f>
        <v>-1.6083843001113336</v>
      </c>
      <c r="K144" s="17">
        <f>1/$K$29-LN($K$29)+($P$16*EXP($P$16/($D$14*$P$15))/(($D$14*$P$15^2)*(1-1.05*($P$17^1.26))))*'F(T,E)'!L124</f>
        <v>0.30428530141362076</v>
      </c>
      <c r="L144" s="17">
        <f>1/$L$29-LN($L$29)+($Q$16*EXP($Q$16/($D$14*$Q$15))/(($D$14*$Q$15^2)*(1-1.05*($Q$17^1.26))))*'F(T,E)'!M124</f>
        <v>-1.1827569046550057</v>
      </c>
      <c r="M144" s="17">
        <f>1/$M$29-LN($M$29)+($R$16*EXP($R$16/($D$14*$R$15))/(($D$14*$R$15^2)*(1-1.05*($R$17^1.26))))*'F(T,E)'!N124</f>
        <v>525.36776158790451</v>
      </c>
      <c r="N144" s="17">
        <f>1/$N$29-LN($N$29)+($S$16*EXP($S$16/($D$14*$S$15))/(($D$14*$S$15^2)*(1-1.05*($S$17^1.26))))*'F(T,E)'!O124</f>
        <v>-11.512843422974612</v>
      </c>
      <c r="O144" s="25"/>
      <c r="P144" s="20">
        <f t="shared" si="30"/>
        <v>52967.254560718677</v>
      </c>
      <c r="Q144" s="20">
        <f t="shared" si="31"/>
        <v>2148.8194572749208</v>
      </c>
      <c r="R144" s="20">
        <f t="shared" si="32"/>
        <v>82.689541982934557</v>
      </c>
      <c r="S144" s="20">
        <f t="shared" si="33"/>
        <v>7.5286565787588675E-2</v>
      </c>
      <c r="T144" s="20">
        <f t="shared" si="34"/>
        <v>4.2211138611382343E-2</v>
      </c>
      <c r="U144" s="20">
        <f t="shared" si="35"/>
        <v>0.16906828605583074</v>
      </c>
      <c r="V144" s="20">
        <f t="shared" si="36"/>
        <v>0.68403357610506932</v>
      </c>
      <c r="W144" s="20">
        <f t="shared" si="37"/>
        <v>0.24084496142804024</v>
      </c>
      <c r="X144" s="20">
        <f t="shared" si="38"/>
        <v>519.11563492622952</v>
      </c>
      <c r="Y144" s="20">
        <f t="shared" si="39"/>
        <v>1.000072043870213E-5</v>
      </c>
      <c r="Z144" s="25"/>
      <c r="AA144" s="20">
        <f t="shared" si="41"/>
        <v>1.3405133443715276E-2</v>
      </c>
      <c r="AB144" s="20">
        <f t="shared" si="42"/>
        <v>0.46066990773095923</v>
      </c>
      <c r="AC144" s="20">
        <f t="shared" si="43"/>
        <v>84.781615316038014</v>
      </c>
      <c r="AD144" s="20">
        <f t="shared" si="44"/>
        <v>196.47920400586364</v>
      </c>
      <c r="AE144" s="20">
        <f t="shared" si="45"/>
        <v>191956.90996290301</v>
      </c>
      <c r="AF144" s="20">
        <f t="shared" si="46"/>
        <v>328.17706508039601</v>
      </c>
      <c r="AG144" s="20">
        <f t="shared" si="47"/>
        <v>23.43631958405064</v>
      </c>
      <c r="AH144" s="20">
        <f t="shared" si="48"/>
        <v>0.18317671075810837</v>
      </c>
      <c r="AI144" s="20">
        <f t="shared" si="49"/>
        <v>0</v>
      </c>
      <c r="AJ144" s="20">
        <v>50</v>
      </c>
      <c r="AK144" s="25"/>
      <c r="AL144" s="20">
        <f t="shared" si="50"/>
        <v>192640.44141864131</v>
      </c>
      <c r="AM144" s="25"/>
      <c r="AN144" s="20">
        <f t="shared" si="51"/>
        <v>637695.80786161136</v>
      </c>
      <c r="AO144" s="20">
        <f t="shared" si="52"/>
        <v>798.55858135869494</v>
      </c>
      <c r="AQ144" s="20">
        <f t="shared" si="53"/>
        <v>1.0416754778279079E-4</v>
      </c>
      <c r="AR144" s="20">
        <v>487</v>
      </c>
      <c r="AS144" s="20">
        <f t="shared" si="54"/>
        <v>4.1282191355346901E-2</v>
      </c>
    </row>
    <row r="145" spans="2:45" x14ac:dyDescent="0.3">
      <c r="B145" s="32">
        <v>215</v>
      </c>
      <c r="C145" s="32">
        <v>193510</v>
      </c>
      <c r="D145" s="7">
        <f t="shared" si="40"/>
        <v>488</v>
      </c>
      <c r="E145" s="17">
        <f>1/$E$29-LN($E$29)+($J$16*EXP($J$16/($D$14*$J$15))/(($D$14*$J$15^2)*(1-1.05*($J$17^1.26))))*'F(T,E)'!F125</f>
        <v>55771.065387633338</v>
      </c>
      <c r="F145" s="17">
        <f>1/$F$29-LN($F$29)+($K$16*EXP($K$16/($D$14*$K$15))/(($D$14*$K$15^2)*(1-1.05*($K$17^1.26))))*'F(T,E)'!G125</f>
        <v>2302.454311726714</v>
      </c>
      <c r="G145" s="17">
        <f>1/$G$29-LN($G$29)+($L$16*EXP($L$16/($D$14*$L$15))/(($D$14*$L$15^2)*(1-1.05*($L$17^1.26))))*'F(T,E)'!H125</f>
        <v>93.685988268938772</v>
      </c>
      <c r="H145" s="17">
        <f>1/$H$29-LN($H$29)+($M$16*EXP($M$16/($D$14*$M$15))/(($D$14*$M$15^2)*(1-1.05*($M$17^1.26))))*'F(T,E)'!I125</f>
        <v>-1.7216246589762729</v>
      </c>
      <c r="I145" s="17">
        <f>1/$I$29-LN($I$29)+($N$16*EXP($N$16/($D$14*$N$15))/(($D$14*$N$15^2)*(1-1.05*($N$17^1.26))))*'F(T,E)'!J125</f>
        <v>-3.0204847082803887</v>
      </c>
      <c r="J145" s="17">
        <f>1/$J$29-LN($J$29)+($O$16*EXP($O$16/($D$14*$O$15))/(($D$14*$O$15^2)*(1-1.05*($O$17^1.26))))*'F(T,E)'!K125</f>
        <v>-1.6042047060208915</v>
      </c>
      <c r="K145" s="17">
        <f>1/$K$29-LN($K$29)+($P$16*EXP($P$16/($D$14*$P$15))/(($D$14*$P$15^2)*(1-1.05*($P$17^1.26))))*'F(T,E)'!L125</f>
        <v>0.30451039893310133</v>
      </c>
      <c r="L145" s="17">
        <f>1/$L$29-LN($L$29)+($Q$16*EXP($Q$16/($D$14*$Q$15))/(($D$14*$Q$15^2)*(1-1.05*($Q$17^1.26))))*'F(T,E)'!M125</f>
        <v>-1.1827542454731523</v>
      </c>
      <c r="M145" s="17">
        <f>1/$M$29-LN($M$29)+($R$16*EXP($R$16/($D$14*$R$15))/(($D$14*$R$15^2)*(1-1.05*($R$17^1.26))))*'F(T,E)'!N125</f>
        <v>535.09392439256408</v>
      </c>
      <c r="N145" s="17">
        <f>1/$N$29-LN($N$29)+($S$16*EXP($S$16/($D$14*$S$15))/(($D$14*$S$15^2)*(1-1.05*($S$17^1.26))))*'F(T,E)'!O125</f>
        <v>-11.512837936327092</v>
      </c>
      <c r="O145" s="25"/>
      <c r="P145" s="20">
        <f t="shared" si="30"/>
        <v>55760.13647514191</v>
      </c>
      <c r="Q145" s="20">
        <f t="shared" si="31"/>
        <v>2294.7142619926776</v>
      </c>
      <c r="R145" s="20">
        <f t="shared" si="32"/>
        <v>89.195161474384747</v>
      </c>
      <c r="S145" s="20">
        <f t="shared" si="33"/>
        <v>0.15335767590287838</v>
      </c>
      <c r="T145" s="20">
        <f t="shared" si="34"/>
        <v>4.6558610519438381E-2</v>
      </c>
      <c r="U145" s="20">
        <f t="shared" si="35"/>
        <v>0.16967365533682388</v>
      </c>
      <c r="V145" s="20">
        <f t="shared" si="36"/>
        <v>0.68412501155742433</v>
      </c>
      <c r="W145" s="20">
        <f t="shared" si="37"/>
        <v>0.24084547756915686</v>
      </c>
      <c r="X145" s="20">
        <f t="shared" si="38"/>
        <v>528.82327009951166</v>
      </c>
      <c r="Y145" s="20">
        <f t="shared" si="39"/>
        <v>1.0000775308731909E-5</v>
      </c>
      <c r="Z145" s="25"/>
      <c r="AA145" s="20">
        <f t="shared" si="41"/>
        <v>1.2683883773055375E-2</v>
      </c>
      <c r="AB145" s="20">
        <f t="shared" si="42"/>
        <v>0.42954561362035937</v>
      </c>
      <c r="AC145" s="20">
        <f t="shared" si="43"/>
        <v>77.943162459665871</v>
      </c>
      <c r="AD145" s="20">
        <f t="shared" si="44"/>
        <v>97.424517680393251</v>
      </c>
      <c r="AE145" s="20">
        <f t="shared" si="45"/>
        <v>192964.92852594043</v>
      </c>
      <c r="AF145" s="20">
        <f t="shared" si="46"/>
        <v>355.73065846932872</v>
      </c>
      <c r="AG145" s="20">
        <f t="shared" si="47"/>
        <v>26.190012430907021</v>
      </c>
      <c r="AH145" s="20">
        <f t="shared" si="48"/>
        <v>0.20573954128807523</v>
      </c>
      <c r="AI145" s="20">
        <f t="shared" si="49"/>
        <v>0</v>
      </c>
      <c r="AJ145" s="20">
        <v>50</v>
      </c>
      <c r="AK145" s="25"/>
      <c r="AL145" s="20">
        <f t="shared" si="50"/>
        <v>193572.86484601942</v>
      </c>
      <c r="AM145" s="25"/>
      <c r="AN145" s="20">
        <f t="shared" si="51"/>
        <v>3951.9888650458352</v>
      </c>
      <c r="AO145" s="20">
        <f t="shared" si="52"/>
        <v>62.864846019423567</v>
      </c>
      <c r="AQ145" s="20">
        <f t="shared" si="53"/>
        <v>8.2003712745084866E-6</v>
      </c>
      <c r="AR145" s="20">
        <v>488</v>
      </c>
      <c r="AS145" s="20">
        <f t="shared" si="54"/>
        <v>-3.2486613621737154E-3</v>
      </c>
    </row>
    <row r="146" spans="2:45" x14ac:dyDescent="0.3">
      <c r="B146" s="32">
        <v>217</v>
      </c>
      <c r="C146" s="32">
        <v>188034</v>
      </c>
      <c r="D146" s="7">
        <f t="shared" si="40"/>
        <v>490</v>
      </c>
      <c r="E146" s="17">
        <f>1/$E$29-LN($E$29)+($J$16*EXP($J$16/($D$14*$J$15))/(($D$14*$J$15^2)*(1-1.05*($J$17^1.26))))*'F(T,E)'!F126</f>
        <v>61768.908456175777</v>
      </c>
      <c r="F146" s="17">
        <f>1/$F$29-LN($F$29)+($K$16*EXP($K$16/($D$14*$K$15))/(($D$14*$K$15^2)*(1-1.05*($K$17^1.26))))*'F(T,E)'!G126</f>
        <v>2622.5706050583694</v>
      </c>
      <c r="G146" s="17">
        <f>1/$G$29-LN($G$29)+($L$16*EXP($L$16/($D$14*$L$15))/(($D$14*$L$15^2)*(1-1.05*($L$17^1.26))))*'F(T,E)'!H126</f>
        <v>108.23176178144334</v>
      </c>
      <c r="H146" s="17">
        <f>1/$H$29-LN($H$29)+($M$16*EXP($M$16/($D$14*$M$15))/(($D$14*$M$15^2)*(1-1.05*($M$17^1.26))))*'F(T,E)'!I126</f>
        <v>5.9640702229650344E-2</v>
      </c>
      <c r="I146" s="17">
        <f>1/$I$29-LN($I$29)+($N$16*EXP($N$16/($D$14*$N$15))/(($D$14*$N$15^2)*(1-1.05*($N$17^1.26))))*'F(T,E)'!J126</f>
        <v>-2.7797271509917683</v>
      </c>
      <c r="J146" s="17">
        <f>1/$J$29-LN($J$29)+($O$16*EXP($O$16/($D$14*$O$15))/(($D$14*$O$15^2)*(1-1.05*($O$17^1.26))))*'F(T,E)'!K126</f>
        <v>-1.5947088332594463</v>
      </c>
      <c r="K146" s="17">
        <f>1/$K$29-LN($K$29)+($P$16*EXP($P$16/($D$14*$P$15))/(($D$14*$P$15^2)*(1-1.05*($P$17^1.26))))*'F(T,E)'!L126</f>
        <v>0.30504287611002762</v>
      </c>
      <c r="L146" s="17">
        <f>1/$L$29-LN($L$29)+($Q$16*EXP($Q$16/($D$14*$Q$15))/(($D$14*$Q$15^2)*(1-1.05*($Q$17^1.26))))*'F(T,E)'!M126</f>
        <v>-1.1827479081151917</v>
      </c>
      <c r="M146" s="17">
        <f>1/$M$29-LN($M$29)+($R$16*EXP($R$16/($D$14*$R$15))/(($D$14*$R$15^2)*(1-1.05*($R$17^1.26))))*'F(T,E)'!N126</f>
        <v>554.96107945936512</v>
      </c>
      <c r="N146" s="17">
        <f>1/$N$29-LN($N$29)+($S$16*EXP($S$16/($D$14*$S$15))/(($D$14*$S$15^2)*(1-1.05*($S$17^1.26))))*'F(T,E)'!O126</f>
        <v>-11.512825545568644</v>
      </c>
      <c r="O146" s="25"/>
      <c r="P146" s="20">
        <f t="shared" si="30"/>
        <v>61757.877390052097</v>
      </c>
      <c r="Q146" s="20">
        <f t="shared" si="31"/>
        <v>2614.7001955961005</v>
      </c>
      <c r="R146" s="20">
        <f t="shared" si="32"/>
        <v>103.59130835135984</v>
      </c>
      <c r="S146" s="20">
        <f t="shared" si="33"/>
        <v>0.58898880482652827</v>
      </c>
      <c r="T146" s="20">
        <f t="shared" si="34"/>
        <v>5.8527715567179117E-2</v>
      </c>
      <c r="U146" s="20">
        <f t="shared" si="35"/>
        <v>0.17105592075003256</v>
      </c>
      <c r="V146" s="20">
        <f t="shared" si="36"/>
        <v>0.68434133466065705</v>
      </c>
      <c r="W146" s="20">
        <f t="shared" si="37"/>
        <v>0.24084670763943825</v>
      </c>
      <c r="X146" s="20">
        <f t="shared" si="38"/>
        <v>548.65361216022586</v>
      </c>
      <c r="Y146" s="20">
        <f t="shared" si="39"/>
        <v>1.0000899225451488E-5</v>
      </c>
      <c r="Z146" s="25"/>
      <c r="AA146" s="20">
        <f t="shared" si="41"/>
        <v>1.1362931768371535E-2</v>
      </c>
      <c r="AB146" s="20">
        <f t="shared" si="42"/>
        <v>0.37380690831119318</v>
      </c>
      <c r="AC146" s="20">
        <f t="shared" si="43"/>
        <v>66.052340955961313</v>
      </c>
      <c r="AD146" s="20">
        <f t="shared" si="44"/>
        <v>21.589522448820674</v>
      </c>
      <c r="AE146" s="20">
        <f t="shared" si="45"/>
        <v>187896.06885871218</v>
      </c>
      <c r="AF146" s="20">
        <f t="shared" si="46"/>
        <v>417.07534048111825</v>
      </c>
      <c r="AG146" s="20">
        <f t="shared" si="47"/>
        <v>32.659286452219547</v>
      </c>
      <c r="AH146" s="20">
        <f t="shared" si="48"/>
        <v>0.25917590576086441</v>
      </c>
      <c r="AI146" s="20">
        <f t="shared" si="49"/>
        <v>0</v>
      </c>
      <c r="AJ146" s="20">
        <v>50</v>
      </c>
      <c r="AK146" s="25"/>
      <c r="AL146" s="20">
        <f t="shared" si="50"/>
        <v>188484.08969479616</v>
      </c>
      <c r="AM146" s="25"/>
      <c r="AN146" s="20">
        <f t="shared" si="51"/>
        <v>202580.73336169971</v>
      </c>
      <c r="AO146" s="20">
        <f t="shared" si="52"/>
        <v>450.08969479615916</v>
      </c>
      <c r="AQ146" s="20">
        <f t="shared" si="53"/>
        <v>5.8711709927967122E-5</v>
      </c>
      <c r="AR146" s="20">
        <v>490</v>
      </c>
      <c r="AS146" s="20">
        <f t="shared" si="54"/>
        <v>-2.3936612250771622E-2</v>
      </c>
    </row>
    <row r="147" spans="2:45" x14ac:dyDescent="0.3">
      <c r="B147" s="32">
        <v>218</v>
      </c>
      <c r="C147" s="32">
        <v>177556</v>
      </c>
      <c r="D147" s="7">
        <f t="shared" si="40"/>
        <v>491</v>
      </c>
      <c r="E147" s="17">
        <f>1/$E$29-LN($E$29)+($J$16*EXP($J$16/($D$14*$J$15))/(($D$14*$J$15^2)*(1-1.05*($J$17^1.26))))*'F(T,E)'!F127</f>
        <v>64985.981136956689</v>
      </c>
      <c r="F147" s="17">
        <f>1/$F$29-LN($F$29)+($K$16*EXP($K$16/($D$14*$K$15))/(($D$14*$K$15^2)*(1-1.05*($K$17^1.26))))*'F(T,E)'!G127</f>
        <v>2797.8375031529345</v>
      </c>
      <c r="G147" s="17">
        <f>1/$G$29-LN($G$29)+($L$16*EXP($L$16/($D$14*$L$15))/(($D$14*$L$15^2)*(1-1.05*($L$17^1.26))))*'F(T,E)'!H127</f>
        <v>116.25574219227983</v>
      </c>
      <c r="H147" s="17">
        <f>1/$H$29-LN($H$29)+($M$16*EXP($M$16/($D$14*$M$15))/(($D$14*$M$15^2)*(1-1.05*($M$17^1.26))))*'F(T,E)'!I127</f>
        <v>1.062065392200827</v>
      </c>
      <c r="I147" s="17">
        <f>1/$I$29-LN($I$29)+($N$16*EXP($N$16/($D$14*$N$15))/(($D$14*$N$15^2)*(1-1.05*($N$17^1.26))))*'F(T,E)'!J127</f>
        <v>-2.6387046014149815</v>
      </c>
      <c r="J147" s="17">
        <f>1/$J$29-LN($J$29)+($O$16*EXP($O$16/($D$14*$O$15))/(($D$14*$O$15^2)*(1-1.05*($O$17^1.26))))*'F(T,E)'!K127</f>
        <v>-1.5893285210972556</v>
      </c>
      <c r="K147" s="17">
        <f>1/$K$29-LN($K$29)+($P$16*EXP($P$16/($D$14*$P$15))/(($D$14*$P$15^2)*(1-1.05*($P$17^1.26))))*'F(T,E)'!L127</f>
        <v>0.30535653047599742</v>
      </c>
      <c r="L147" s="17">
        <f>1/$L$29-LN($L$29)+($Q$16*EXP($Q$16/($D$14*$Q$15))/(($D$14*$Q$15^2)*(1-1.05*($Q$17^1.26))))*'F(T,E)'!M127</f>
        <v>-1.1827441484231458</v>
      </c>
      <c r="M147" s="17">
        <f>1/$M$29-LN($M$29)+($R$16*EXP($R$16/($D$14*$R$15))/(($D$14*$R$15^2)*(1-1.05*($R$17^1.26))))*'F(T,E)'!N127</f>
        <v>565.10476003625035</v>
      </c>
      <c r="N147" s="17">
        <f>1/$N$29-LN($N$29)+($S$16*EXP($S$16/($D$14*$S$15))/(($D$14*$S$15^2)*(1-1.05*($S$17^1.26))))*'F(T,E)'!O127</f>
        <v>-11.512818565738668</v>
      </c>
      <c r="O147" s="25"/>
      <c r="P147" s="20">
        <f t="shared" si="30"/>
        <v>64974.899295369869</v>
      </c>
      <c r="Q147" s="20">
        <f t="shared" si="31"/>
        <v>2789.902319421255</v>
      </c>
      <c r="R147" s="20">
        <f t="shared" si="32"/>
        <v>111.54134684638341</v>
      </c>
      <c r="S147" s="20">
        <f t="shared" si="33"/>
        <v>1.0312722032965087</v>
      </c>
      <c r="T147" s="20">
        <f t="shared" si="34"/>
        <v>6.6834297228034634E-2</v>
      </c>
      <c r="U147" s="20">
        <f t="shared" si="35"/>
        <v>0.17184336493938482</v>
      </c>
      <c r="V147" s="20">
        <f t="shared" si="36"/>
        <v>0.68446877825438091</v>
      </c>
      <c r="W147" s="20">
        <f t="shared" si="37"/>
        <v>0.24084743739159128</v>
      </c>
      <c r="X147" s="20">
        <f t="shared" si="38"/>
        <v>558.77900597940254</v>
      </c>
      <c r="Y147" s="20">
        <f t="shared" si="39"/>
        <v>1.0000969029573196E-5</v>
      </c>
      <c r="Z147" s="25"/>
      <c r="AA147" s="20">
        <f t="shared" si="41"/>
        <v>1.0758365370094218E-2</v>
      </c>
      <c r="AB147" s="20">
        <f t="shared" si="42"/>
        <v>0.3488689836602078</v>
      </c>
      <c r="AC147" s="20">
        <f t="shared" si="43"/>
        <v>60.881598870697367</v>
      </c>
      <c r="AD147" s="20">
        <f t="shared" si="44"/>
        <v>10.439623472790334</v>
      </c>
      <c r="AE147" s="20">
        <f t="shared" si="45"/>
        <v>181539.69582069822</v>
      </c>
      <c r="AF147" s="20">
        <f t="shared" si="46"/>
        <v>451.09647398883862</v>
      </c>
      <c r="AG147" s="20">
        <f t="shared" si="47"/>
        <v>36.444460352588287</v>
      </c>
      <c r="AH147" s="20">
        <f t="shared" si="48"/>
        <v>0.29068756500740189</v>
      </c>
      <c r="AI147" s="20">
        <f t="shared" si="49"/>
        <v>0</v>
      </c>
      <c r="AJ147" s="20">
        <v>50</v>
      </c>
      <c r="AK147" s="25"/>
      <c r="AL147" s="20">
        <f t="shared" si="50"/>
        <v>182149.20829229717</v>
      </c>
      <c r="AM147" s="25"/>
      <c r="AN147" s="20">
        <f t="shared" si="51"/>
        <v>21097562.41642753</v>
      </c>
      <c r="AO147" s="20">
        <f t="shared" si="52"/>
        <v>4593.2082922971749</v>
      </c>
      <c r="AQ147" s="20">
        <f t="shared" si="53"/>
        <v>5.9915860330509894E-4</v>
      </c>
      <c r="AR147" s="20">
        <v>491</v>
      </c>
      <c r="AS147" s="20">
        <f t="shared" si="54"/>
        <v>-0.25869068306884446</v>
      </c>
    </row>
    <row r="148" spans="2:45" x14ac:dyDescent="0.3">
      <c r="B148" s="32">
        <v>220</v>
      </c>
      <c r="C148" s="32">
        <v>162813</v>
      </c>
      <c r="D148" s="7">
        <f t="shared" si="40"/>
        <v>493</v>
      </c>
      <c r="E148" s="17">
        <f>1/$E$29-LN($E$29)+($J$16*EXP($J$16/($D$14*$J$15))/(($D$14*$J$15^2)*(1-1.05*($J$17^1.26))))*'F(T,E)'!F128</f>
        <v>71888.651927279207</v>
      </c>
      <c r="F148" s="17">
        <f>1/$F$29-LN($F$29)+($K$16*EXP($K$16/($D$14*$K$15))/(($D$14*$K$15^2)*(1-1.05*($K$17^1.26))))*'F(T,E)'!G128</f>
        <v>3181.7943439146516</v>
      </c>
      <c r="G148" s="17">
        <f>1/$G$29-LN($G$29)+($L$16*EXP($L$16/($D$14*$L$15))/(($D$14*$L$15^2)*(1-1.05*($L$17^1.26))))*'F(T,E)'!H128</f>
        <v>133.96825218400323</v>
      </c>
      <c r="H148" s="17">
        <f>1/$H$29-LN($H$29)+($M$16*EXP($M$16/($D$14*$M$15))/(($D$14*$M$15^2)*(1-1.05*($M$17^1.26))))*'F(T,E)'!I128</f>
        <v>3.3202718965235931</v>
      </c>
      <c r="I148" s="17">
        <f>1/$I$29-LN($I$29)+($N$16*EXP($N$16/($D$14*$N$15))/(($D$14*$N$15^2)*(1-1.05*($N$17^1.26))))*'F(T,E)'!J128</f>
        <v>-2.307718841603223</v>
      </c>
      <c r="J148" s="17">
        <f>1/$J$29-LN($J$29)+($O$16*EXP($O$16/($D$14*$O$15))/(($D$14*$O$15^2)*(1-1.05*($O$17^1.26))))*'F(T,E)'!K128</f>
        <v>-1.5771237570144285</v>
      </c>
      <c r="K148" s="17">
        <f>1/$K$29-LN($K$29)+($P$16*EXP($P$16/($D$14*$P$15))/(($D$14*$P$15^2)*(1-1.05*($P$17^1.26))))*'F(T,E)'!L128</f>
        <v>0.30609696404919623</v>
      </c>
      <c r="L148" s="17">
        <f>1/$L$29-LN($L$29)+($Q$16*EXP($Q$16/($D$14*$Q$15))/(($D$14*$Q$15^2)*(1-1.05*($Q$17^1.26))))*'F(T,E)'!M128</f>
        <v>-1.1827352076118427</v>
      </c>
      <c r="M148" s="17">
        <f>1/$M$29-LN($M$29)+($R$16*EXP($R$16/($D$14*$R$15))/(($D$14*$R$15^2)*(1-1.05*($R$17^1.26))))*'F(T,E)'!N128</f>
        <v>585.81908879034438</v>
      </c>
      <c r="N148" s="17">
        <f>1/$N$29-LN($N$29)+($S$16*EXP($S$16/($D$14*$S$15))/(($D$14*$S$15^2)*(1-1.05*($S$17^1.26))))*'F(T,E)'!O128</f>
        <v>-11.512802826309262</v>
      </c>
      <c r="O148" s="25"/>
      <c r="P148" s="20">
        <f t="shared" si="30"/>
        <v>71877.469131358419</v>
      </c>
      <c r="Q148" s="20">
        <f t="shared" si="31"/>
        <v>3173.730410737076</v>
      </c>
      <c r="R148" s="20">
        <f t="shared" si="32"/>
        <v>129.10760597252954</v>
      </c>
      <c r="S148" s="20">
        <f t="shared" si="33"/>
        <v>2.4316867458685167</v>
      </c>
      <c r="T148" s="20">
        <f t="shared" si="34"/>
        <v>9.0848054723645447E-2</v>
      </c>
      <c r="U148" s="20">
        <f t="shared" si="35"/>
        <v>0.17364108470344727</v>
      </c>
      <c r="V148" s="20">
        <f t="shared" si="36"/>
        <v>0.68476968604993738</v>
      </c>
      <c r="W148" s="20">
        <f t="shared" si="37"/>
        <v>0.24084917280053669</v>
      </c>
      <c r="X148" s="20">
        <f t="shared" si="38"/>
        <v>579.45699733681181</v>
      </c>
      <c r="Y148" s="20">
        <f t="shared" si="39"/>
        <v>1.0001126438783734E-5</v>
      </c>
      <c r="Z148" s="25"/>
      <c r="AA148" s="20">
        <f t="shared" si="41"/>
        <v>9.6500351495406467E-3</v>
      </c>
      <c r="AB148" s="20">
        <f t="shared" si="42"/>
        <v>0.30414184058151539</v>
      </c>
      <c r="AC148" s="20">
        <f t="shared" si="43"/>
        <v>51.842528169111731</v>
      </c>
      <c r="AD148" s="20">
        <f t="shared" si="44"/>
        <v>3.0669281962176238</v>
      </c>
      <c r="AE148" s="20">
        <f t="shared" si="45"/>
        <v>161287.26946538218</v>
      </c>
      <c r="AF148" s="20">
        <f t="shared" si="46"/>
        <v>526.41068661902227</v>
      </c>
      <c r="AG148" s="20">
        <f t="shared" si="47"/>
        <v>45.316795535462951</v>
      </c>
      <c r="AH148" s="20">
        <f t="shared" si="48"/>
        <v>0.36515985524651506</v>
      </c>
      <c r="AI148" s="20">
        <f t="shared" si="49"/>
        <v>0</v>
      </c>
      <c r="AJ148" s="20">
        <v>50</v>
      </c>
      <c r="AK148" s="25"/>
      <c r="AL148" s="20">
        <f t="shared" si="50"/>
        <v>161964.585355633</v>
      </c>
      <c r="AM148" s="25"/>
      <c r="AN148" s="20">
        <f t="shared" si="51"/>
        <v>719807.40877638874</v>
      </c>
      <c r="AO148" s="20">
        <f t="shared" si="52"/>
        <v>848.41464436700335</v>
      </c>
      <c r="AQ148" s="20">
        <f t="shared" si="53"/>
        <v>1.1067099530300101E-4</v>
      </c>
      <c r="AR148" s="20">
        <v>493</v>
      </c>
      <c r="AS148" s="20">
        <f t="shared" si="54"/>
        <v>5.2109760545349784E-2</v>
      </c>
    </row>
    <row r="149" spans="2:45" x14ac:dyDescent="0.3">
      <c r="B149" s="32">
        <v>221</v>
      </c>
      <c r="C149" s="32">
        <v>144111</v>
      </c>
      <c r="D149" s="7">
        <f t="shared" si="40"/>
        <v>494</v>
      </c>
      <c r="E149" s="17">
        <f>1/$E$29-LN($E$29)+($J$16*EXP($J$16/($D$14*$J$15))/(($D$14*$J$15^2)*(1-1.05*($J$17^1.26))))*'F(T,E)'!F129</f>
        <v>75587.90097264752</v>
      </c>
      <c r="F149" s="17">
        <f>1/$F$29-LN($F$29)+($K$16*EXP($K$16/($D$14*$K$15))/(($D$14*$K$15^2)*(1-1.05*($K$17^1.26))))*'F(T,E)'!G129</f>
        <v>3391.7840454784805</v>
      </c>
      <c r="G149" s="17">
        <f>1/$G$29-LN($G$29)+($L$16*EXP($L$16/($D$14*$L$15))/(($D$14*$L$15^2)*(1-1.05*($L$17^1.26))))*'F(T,E)'!H129</f>
        <v>143.72752575092733</v>
      </c>
      <c r="H149" s="17">
        <f>1/$H$29-LN($H$29)+($M$16*EXP($M$16/($D$14*$M$15))/(($D$14*$M$15^2)*(1-1.05*($M$17^1.26))))*'F(T,E)'!I129</f>
        <v>4.5892883147403687</v>
      </c>
      <c r="I149" s="17">
        <f>1/$I$29-LN($I$29)+($N$16*EXP($N$16/($D$14*$N$15))/(($D$14*$N$15^2)*(1-1.05*($N$17^1.26))))*'F(T,E)'!J129</f>
        <v>-2.1142144992914957</v>
      </c>
      <c r="J149" s="17">
        <f>1/$J$29-LN($J$29)+($O$16*EXP($O$16/($D$14*$O$15))/(($D$14*$O$15^2)*(1-1.05*($O$17^1.26))))*'F(T,E)'!K129</f>
        <v>-1.5702190201179371</v>
      </c>
      <c r="K149" s="17">
        <f>1/$K$29-LN($K$29)+($P$16*EXP($P$16/($D$14*$P$15))/(($D$14*$P$15^2)*(1-1.05*($P$17^1.26))))*'F(T,E)'!L129</f>
        <v>0.30653225548232937</v>
      </c>
      <c r="L149" s="17">
        <f>1/$L$29-LN($L$29)+($Q$16*EXP($Q$16/($D$14*$Q$15))/(($D$14*$Q$15^2)*(1-1.05*($Q$17^1.26))))*'F(T,E)'!M129</f>
        <v>-1.1827299142960268</v>
      </c>
      <c r="M149" s="17">
        <f>1/$M$29-LN($M$29)+($R$16*EXP($R$16/($D$14*$R$15))/(($D$14*$R$15^2)*(1-1.05*($R$17^1.26))))*'F(T,E)'!N129</f>
        <v>596.39245766168176</v>
      </c>
      <c r="N149" s="17">
        <f>1/$N$29-LN($N$29)+($S$16*EXP($S$16/($D$14*$S$15))/(($D$14*$S$15^2)*(1-1.05*($S$17^1.26))))*'F(T,E)'!O129</f>
        <v>-11.512793972884143</v>
      </c>
      <c r="O149" s="25"/>
      <c r="P149" s="20">
        <f t="shared" si="30"/>
        <v>75576.667995442767</v>
      </c>
      <c r="Q149" s="20">
        <f t="shared" si="31"/>
        <v>3383.656132502751</v>
      </c>
      <c r="R149" s="20">
        <f t="shared" si="32"/>
        <v>138.79453110489246</v>
      </c>
      <c r="S149" s="20">
        <f t="shared" si="33"/>
        <v>3.3733746820882415</v>
      </c>
      <c r="T149" s="20">
        <f t="shared" si="34"/>
        <v>0.10833280089123451</v>
      </c>
      <c r="U149" s="20">
        <f t="shared" si="35"/>
        <v>0.17466520895032711</v>
      </c>
      <c r="V149" s="20">
        <f t="shared" si="36"/>
        <v>0.68494662253906069</v>
      </c>
      <c r="W149" s="20">
        <f t="shared" si="37"/>
        <v>0.2408502002363887</v>
      </c>
      <c r="X149" s="20">
        <f t="shared" si="38"/>
        <v>590.01231425338392</v>
      </c>
      <c r="Y149" s="20">
        <f t="shared" si="39"/>
        <v>1.0001214982514173E-5</v>
      </c>
      <c r="Z149" s="25"/>
      <c r="AA149" s="20">
        <f t="shared" si="41"/>
        <v>9.1422796725442214E-3</v>
      </c>
      <c r="AB149" s="20">
        <f t="shared" si="42"/>
        <v>0.28410039201169429</v>
      </c>
      <c r="AC149" s="20">
        <f t="shared" si="43"/>
        <v>47.891593374898548</v>
      </c>
      <c r="AD149" s="20">
        <f t="shared" si="44"/>
        <v>1.8757568441507164</v>
      </c>
      <c r="AE149" s="20">
        <f t="shared" si="45"/>
        <v>147835.1355433084</v>
      </c>
      <c r="AF149" s="20">
        <f t="shared" si="46"/>
        <v>567.9276144579718</v>
      </c>
      <c r="AG149" s="20">
        <f t="shared" si="47"/>
        <v>50.496502530997645</v>
      </c>
      <c r="AH149" s="20">
        <f t="shared" si="48"/>
        <v>0.40898763495264578</v>
      </c>
      <c r="AI149" s="20">
        <f t="shared" si="49"/>
        <v>0</v>
      </c>
      <c r="AJ149" s="20">
        <v>50</v>
      </c>
      <c r="AK149" s="25"/>
      <c r="AL149" s="20">
        <f t="shared" si="50"/>
        <v>148554.02924082306</v>
      </c>
      <c r="AM149" s="25"/>
      <c r="AN149" s="20">
        <f t="shared" si="51"/>
        <v>19740508.834808737</v>
      </c>
      <c r="AO149" s="20">
        <f t="shared" si="52"/>
        <v>4443.0292408230598</v>
      </c>
      <c r="AQ149" s="20">
        <f t="shared" si="53"/>
        <v>5.7956857711843239E-4</v>
      </c>
      <c r="AR149" s="20">
        <v>494</v>
      </c>
      <c r="AS149" s="20">
        <f t="shared" si="54"/>
        <v>-0.30830604470325373</v>
      </c>
    </row>
    <row r="150" spans="2:45" x14ac:dyDescent="0.3">
      <c r="B150" s="32">
        <v>223</v>
      </c>
      <c r="C150" s="32">
        <v>122662</v>
      </c>
      <c r="D150" s="7">
        <f t="shared" si="40"/>
        <v>496</v>
      </c>
      <c r="E150" s="17">
        <f>1/$E$29-LN($E$29)+($J$16*EXP($J$16/($D$14*$J$15))/(($D$14*$J$15^2)*(1-1.05*($J$17^1.26))))*'F(T,E)'!F130</f>
        <v>83518.363338888477</v>
      </c>
      <c r="F150" s="17">
        <f>1/$F$29-LN($F$29)+($K$16*EXP($K$16/($D$14*$K$15))/(($D$14*$K$15^2)*(1-1.05*($K$17^1.26))))*'F(T,E)'!G130</f>
        <v>3851.2985449496364</v>
      </c>
      <c r="G150" s="17">
        <f>1/$G$29-LN($G$29)+($L$16*EXP($L$16/($D$14*$L$15))/(($D$14*$L$15^2)*(1-1.05*($L$17^1.26))))*'F(T,E)'!H130</f>
        <v>165.24474148181048</v>
      </c>
      <c r="H150" s="17">
        <f>1/$H$29-LN($H$29)+($M$16*EXP($M$16/($D$14*$M$15))/(($D$14*$M$15^2)*(1-1.05*($M$17^1.26))))*'F(T,E)'!I130</f>
        <v>7.4439167020649037</v>
      </c>
      <c r="I150" s="17">
        <f>1/$I$29-LN($I$29)+($N$16*EXP($N$16/($D$14*$N$15))/(($D$14*$N$15^2)*(1-1.05*($N$17^1.26))))*'F(T,E)'!J130</f>
        <v>-1.6609378813709665</v>
      </c>
      <c r="J150" s="17">
        <f>1/$J$29-LN($J$29)+($O$16*EXP($O$16/($D$14*$O$15))/(($D$14*$O$15^2)*(1-1.05*($O$17^1.26))))*'F(T,E)'!K130</f>
        <v>-1.5545802493104595</v>
      </c>
      <c r="K150" s="17">
        <f>1/$K$29-LN($K$29)+($P$16*EXP($P$16/($D$14*$P$15))/(($D$14*$P$15^2)*(1-1.05*($P$17^1.26))))*'F(T,E)'!L130</f>
        <v>0.3075577558135425</v>
      </c>
      <c r="L150" s="17">
        <f>1/$L$29-LN($L$29)+($Q$16*EXP($Q$16/($D$14*$Q$15))/(($D$14*$Q$15^2)*(1-1.05*($Q$17^1.26))))*'F(T,E)'!M130</f>
        <v>-1.1827173530100514</v>
      </c>
      <c r="M150" s="17">
        <f>1/$M$29-LN($M$29)+($R$16*EXP($R$16/($D$14*$R$15))/(($D$14*$R$15^2)*(1-1.05*($R$17^1.26))))*'F(T,E)'!N130</f>
        <v>617.9784457660113</v>
      </c>
      <c r="N150" s="17">
        <f>1/$N$29-LN($N$29)+($S$16*EXP($S$16/($D$14*$S$15))/(($D$14*$S$15^2)*(1-1.05*($S$17^1.26))))*'F(T,E)'!O130</f>
        <v>-11.512774037683757</v>
      </c>
      <c r="O150" s="25"/>
      <c r="P150" s="20">
        <f t="shared" si="30"/>
        <v>83507.030584927881</v>
      </c>
      <c r="Q150" s="20">
        <f t="shared" si="31"/>
        <v>3843.0434511626013</v>
      </c>
      <c r="R150" s="20">
        <f t="shared" si="32"/>
        <v>160.16851500205954</v>
      </c>
      <c r="S150" s="20">
        <f t="shared" si="33"/>
        <v>5.7029356359523709</v>
      </c>
      <c r="T150" s="20">
        <f t="shared" si="34"/>
        <v>0.16161297345647535</v>
      </c>
      <c r="U150" s="20">
        <f t="shared" si="35"/>
        <v>0.17700380427119905</v>
      </c>
      <c r="V150" s="20">
        <f t="shared" si="36"/>
        <v>0.68536357333953046</v>
      </c>
      <c r="W150" s="20">
        <f t="shared" si="37"/>
        <v>0.24085263840385063</v>
      </c>
      <c r="X150" s="20">
        <f t="shared" si="38"/>
        <v>611.56242872496671</v>
      </c>
      <c r="Y150" s="20">
        <f t="shared" si="39"/>
        <v>1.0001414358732228E-5</v>
      </c>
      <c r="Z150" s="25"/>
      <c r="AA150" s="20">
        <f t="shared" si="41"/>
        <v>8.210537686931486E-3</v>
      </c>
      <c r="AB150" s="20">
        <f t="shared" si="42"/>
        <v>0.2481037759376169</v>
      </c>
      <c r="AC150" s="20">
        <f t="shared" si="43"/>
        <v>40.953011183240079</v>
      </c>
      <c r="AD150" s="20">
        <f t="shared" si="44"/>
        <v>0.84559343896172279</v>
      </c>
      <c r="AE150" s="20">
        <f t="shared" si="45"/>
        <v>116459.54368519684</v>
      </c>
      <c r="AF150" s="20">
        <f t="shared" si="46"/>
        <v>659.20541004982056</v>
      </c>
      <c r="AG150" s="20">
        <f t="shared" si="47"/>
        <v>62.609308146123681</v>
      </c>
      <c r="AH150" s="20">
        <f t="shared" si="48"/>
        <v>0.5123516508460253</v>
      </c>
      <c r="AI150" s="20">
        <f t="shared" si="49"/>
        <v>0</v>
      </c>
      <c r="AJ150" s="20">
        <v>50</v>
      </c>
      <c r="AK150" s="25"/>
      <c r="AL150" s="20">
        <f t="shared" si="50"/>
        <v>117273.92567397947</v>
      </c>
      <c r="AM150" s="25"/>
      <c r="AN150" s="20">
        <f t="shared" si="51"/>
        <v>29031344.942721639</v>
      </c>
      <c r="AO150" s="20">
        <f t="shared" si="52"/>
        <v>5388.0743260205345</v>
      </c>
      <c r="AQ150" s="20">
        <f t="shared" si="53"/>
        <v>7.0284447868310563E-4</v>
      </c>
      <c r="AR150" s="20">
        <v>496</v>
      </c>
      <c r="AS150" s="20">
        <f t="shared" si="54"/>
        <v>0.43926190067180826</v>
      </c>
    </row>
    <row r="151" spans="2:45" x14ac:dyDescent="0.3">
      <c r="B151" s="32">
        <v>224</v>
      </c>
      <c r="C151" s="32">
        <v>99304</v>
      </c>
      <c r="D151" s="7">
        <f t="shared" si="40"/>
        <v>497</v>
      </c>
      <c r="E151" s="17">
        <f>1/$E$29-LN($E$29)+($J$16*EXP($J$16/($D$14*$J$15))/(($D$14*$J$15^2)*(1-1.05*($J$17^1.26))))*'F(T,E)'!F131</f>
        <v>87764.873824657145</v>
      </c>
      <c r="F151" s="17">
        <f>1/$F$29-LN($F$29)+($K$16*EXP($K$16/($D$14*$K$15))/(($D$14*$K$15^2)*(1-1.05*($K$17^1.26))))*'F(T,E)'!G131</f>
        <v>4102.3408060198362</v>
      </c>
      <c r="G151" s="17">
        <f>1/$G$29-LN($G$29)+($L$16*EXP($L$16/($D$14*$L$15))/(($D$14*$L$15^2)*(1-1.05*($L$17^1.26))))*'F(T,E)'!H131</f>
        <v>177.08652363047867</v>
      </c>
      <c r="H151" s="17">
        <f>1/$H$29-LN($H$29)+($M$16*EXP($M$16/($D$14*$M$15))/(($D$14*$M$15^2)*(1-1.05*($M$17^1.26))))*'F(T,E)'!I131</f>
        <v>9.0458511342979655</v>
      </c>
      <c r="I151" s="17">
        <f>1/$I$29-LN($I$29)+($N$16*EXP($N$16/($D$14*$N$15))/(($D$14*$N$15^2)*(1-1.05*($N$17^1.26))))*'F(T,E)'!J131</f>
        <v>-1.396433853503054</v>
      </c>
      <c r="J151" s="17">
        <f>1/$J$29-LN($J$29)+($O$16*EXP($O$16/($D$14*$O$15))/(($D$14*$O$15^2)*(1-1.05*($O$17^1.26))))*'F(T,E)'!K131</f>
        <v>-1.54574584521317</v>
      </c>
      <c r="K151" s="17">
        <f>1/$K$29-LN($K$29)+($P$16*EXP($P$16/($D$14*$P$15))/(($D$14*$P$15^2)*(1-1.05*($P$17^1.26))))*'F(T,E)'!L131</f>
        <v>0.30815946800248734</v>
      </c>
      <c r="L151" s="17">
        <f>1/$L$29-LN($L$29)+($Q$16*EXP($Q$16/($D$14*$Q$15))/(($D$14*$Q$15^2)*(1-1.05*($Q$17^1.26))))*'F(T,E)'!M131</f>
        <v>-1.1827099312351128</v>
      </c>
      <c r="M151" s="17">
        <f>1/$M$29-LN($M$29)+($R$16*EXP($R$16/($D$14*$R$15))/(($D$14*$R$15^2)*(1-1.05*($R$17^1.26))))*'F(T,E)'!N131</f>
        <v>628.99381719625626</v>
      </c>
      <c r="N151" s="17">
        <f>1/$N$29-LN($N$29)+($S$16*EXP($S$16/($D$14*$S$15))/(($D$14*$S$15^2)*(1-1.05*($S$17^1.26))))*'F(T,E)'!O131</f>
        <v>-11.512762839965767</v>
      </c>
      <c r="O151" s="25"/>
      <c r="P151" s="20">
        <f t="shared" si="30"/>
        <v>87753.491472873982</v>
      </c>
      <c r="Q151" s="20">
        <f t="shared" si="31"/>
        <v>4094.0225069732269</v>
      </c>
      <c r="R151" s="20">
        <f t="shared" si="32"/>
        <v>171.93938164806278</v>
      </c>
      <c r="S151" s="20">
        <f t="shared" si="33"/>
        <v>7.0875161820631831</v>
      </c>
      <c r="T151" s="20">
        <f t="shared" si="34"/>
        <v>0.20217714700685915</v>
      </c>
      <c r="U151" s="20">
        <f t="shared" si="35"/>
        <v>0.17833660877078109</v>
      </c>
      <c r="V151" s="20">
        <f t="shared" si="36"/>
        <v>0.68560828925792194</v>
      </c>
      <c r="W151" s="20">
        <f t="shared" si="37"/>
        <v>0.24085407899262684</v>
      </c>
      <c r="X151" s="20">
        <f t="shared" si="38"/>
        <v>622.55997722360507</v>
      </c>
      <c r="Y151" s="20">
        <f t="shared" si="39"/>
        <v>1.0001526351256661E-5</v>
      </c>
      <c r="Z151" s="25"/>
      <c r="AA151" s="20">
        <f t="shared" si="41"/>
        <v>7.7832684951948776E-3</v>
      </c>
      <c r="AB151" s="20">
        <f t="shared" si="42"/>
        <v>0.23195113568441039</v>
      </c>
      <c r="AC151" s="20">
        <f t="shared" si="43"/>
        <v>37.906661581823116</v>
      </c>
      <c r="AD151" s="20">
        <f t="shared" si="44"/>
        <v>0.60918041482249341</v>
      </c>
      <c r="AE151" s="20">
        <f t="shared" si="45"/>
        <v>99768.063272920524</v>
      </c>
      <c r="AF151" s="20">
        <f t="shared" si="46"/>
        <v>709.15280507938508</v>
      </c>
      <c r="AG151" s="20">
        <f t="shared" si="47"/>
        <v>69.664662527029151</v>
      </c>
      <c r="AH151" s="20">
        <f t="shared" si="48"/>
        <v>0.5730615657858642</v>
      </c>
      <c r="AI151" s="20">
        <f t="shared" si="49"/>
        <v>0</v>
      </c>
      <c r="AJ151" s="20">
        <v>50</v>
      </c>
      <c r="AK151" s="25"/>
      <c r="AL151" s="20">
        <f t="shared" si="50"/>
        <v>100636.20937849354</v>
      </c>
      <c r="AM151" s="25"/>
      <c r="AN151" s="20">
        <f t="shared" si="51"/>
        <v>1774781.8281461503</v>
      </c>
      <c r="AO151" s="20">
        <f t="shared" si="52"/>
        <v>1332.2093784935423</v>
      </c>
      <c r="AQ151" s="20">
        <f t="shared" si="53"/>
        <v>1.7377934109078758E-4</v>
      </c>
      <c r="AR151" s="20">
        <v>497</v>
      </c>
      <c r="AS151" s="20">
        <f t="shared" si="54"/>
        <v>-0.1341546542428847</v>
      </c>
    </row>
    <row r="152" spans="2:45" x14ac:dyDescent="0.3">
      <c r="B152" s="32">
        <v>226</v>
      </c>
      <c r="C152" s="32">
        <v>76150</v>
      </c>
      <c r="D152" s="7">
        <f t="shared" si="40"/>
        <v>499</v>
      </c>
      <c r="E152" s="17">
        <f>1/$E$29-LN($E$29)+($J$16*EXP($J$16/($D$14*$J$15))/(($D$14*$J$15^2)*(1-1.05*($J$17^1.26))))*'F(T,E)'!F132</f>
        <v>96860.917107947331</v>
      </c>
      <c r="F152" s="17">
        <f>1/$F$29-LN($F$29)+($K$16*EXP($K$16/($D$14*$K$15))/(($D$14*$K$15^2)*(1-1.05*($K$17^1.26))))*'F(T,E)'!G132</f>
        <v>4651.0920428143472</v>
      </c>
      <c r="G152" s="17">
        <f>1/$G$29-LN($G$29)+($L$16*EXP($L$16/($D$14*$L$15))/(($D$14*$L$15^2)*(1-1.05*($L$17^1.26))))*'F(T,E)'!H132</f>
        <v>203.16447420843875</v>
      </c>
      <c r="H152" s="17">
        <f>1/$H$29-LN($H$29)+($M$16*EXP($M$16/($D$14*$M$15))/(($D$14*$M$15^2)*(1-1.05*($M$17^1.26))))*'F(T,E)'!I132</f>
        <v>12.644247234808123</v>
      </c>
      <c r="I152" s="17">
        <f>1/$I$29-LN($I$29)+($N$16*EXP($N$16/($D$14*$N$15))/(($D$14*$N$15^2)*(1-1.05*($N$17^1.26))))*'F(T,E)'!J132</f>
        <v>-0.77802995776394024</v>
      </c>
      <c r="J152" s="17">
        <f>1/$J$29-LN($J$29)+($O$16*EXP($O$16/($D$14*$O$15))/(($D$14*$O$15^2)*(1-1.05*($O$17^1.26))))*'F(T,E)'!K132</f>
        <v>-1.5257666295639984</v>
      </c>
      <c r="K152" s="17">
        <f>1/$K$29-LN($K$29)+($P$16*EXP($P$16/($D$14*$P$15))/(($D$14*$P$15^2)*(1-1.05*($P$17^1.26))))*'F(T,E)'!L132</f>
        <v>0.30957422371174781</v>
      </c>
      <c r="L152" s="17">
        <f>1/$L$29-LN($L$29)+($Q$16*EXP($Q$16/($D$14*$Q$15))/(($D$14*$Q$15^2)*(1-1.05*($Q$17^1.26))))*'F(T,E)'!M132</f>
        <v>-1.1826923555410103</v>
      </c>
      <c r="M152" s="17">
        <f>1/$M$29-LN($M$29)+($R$16*EXP($R$16/($D$14*$R$15))/(($D$14*$R$15^2)*(1-1.05*($R$17^1.26))))*'F(T,E)'!N132</f>
        <v>651.47623382714778</v>
      </c>
      <c r="N152" s="17">
        <f>1/$N$29-LN($N$29)+($S$16*EXP($S$16/($D$14*$S$15))/(($D$14*$S$15^2)*(1-1.05*($S$17^1.26))))*'F(T,E)'!O132</f>
        <v>-11.512737662297425</v>
      </c>
      <c r="O152" s="25"/>
      <c r="P152" s="20">
        <f t="shared" si="30"/>
        <v>96849.436135828582</v>
      </c>
      <c r="Q152" s="20">
        <f t="shared" si="31"/>
        <v>4642.6480933313915</v>
      </c>
      <c r="R152" s="20">
        <f t="shared" si="32"/>
        <v>197.87682944482322</v>
      </c>
      <c r="S152" s="20">
        <f t="shared" si="33"/>
        <v>10.311032770107676</v>
      </c>
      <c r="T152" s="20">
        <f t="shared" si="34"/>
        <v>0.3301570055396949</v>
      </c>
      <c r="U152" s="20">
        <f t="shared" si="35"/>
        <v>0.18138220648539852</v>
      </c>
      <c r="V152" s="20">
        <f t="shared" si="36"/>
        <v>0.68618387358608224</v>
      </c>
      <c r="W152" s="20">
        <f t="shared" si="37"/>
        <v>0.24085749051526112</v>
      </c>
      <c r="X152" s="20">
        <f t="shared" si="38"/>
        <v>645.00697270002286</v>
      </c>
      <c r="Y152" s="20">
        <f t="shared" si="39"/>
        <v>1.0001778167021519E-5</v>
      </c>
      <c r="Z152" s="25"/>
      <c r="AA152" s="20">
        <f t="shared" si="41"/>
        <v>6.9984831369367629E-3</v>
      </c>
      <c r="AB152" s="20">
        <f t="shared" si="42"/>
        <v>0.20289950876866808</v>
      </c>
      <c r="AC152" s="20">
        <f t="shared" si="43"/>
        <v>32.535247495421295</v>
      </c>
      <c r="AD152" s="20">
        <f t="shared" si="44"/>
        <v>0.34906606726774481</v>
      </c>
      <c r="AE152" s="20">
        <f t="shared" si="45"/>
        <v>67840.094811686198</v>
      </c>
      <c r="AF152" s="20">
        <f t="shared" si="46"/>
        <v>818.04097569230044</v>
      </c>
      <c r="AG152" s="20">
        <f t="shared" si="47"/>
        <v>86.123774502325304</v>
      </c>
      <c r="AH152" s="20">
        <f t="shared" si="48"/>
        <v>0.71594823057949653</v>
      </c>
      <c r="AI152" s="20">
        <f t="shared" si="49"/>
        <v>0</v>
      </c>
      <c r="AJ152" s="20">
        <v>50</v>
      </c>
      <c r="AK152" s="25"/>
      <c r="AL152" s="20">
        <f t="shared" si="50"/>
        <v>68828.06972166599</v>
      </c>
      <c r="AM152" s="25"/>
      <c r="AN152" s="20">
        <f t="shared" si="51"/>
        <v>53610663.000784352</v>
      </c>
      <c r="AO152" s="20">
        <f t="shared" si="52"/>
        <v>7321.9302783340099</v>
      </c>
      <c r="AQ152" s="20">
        <f t="shared" si="53"/>
        <v>9.5510528586759894E-4</v>
      </c>
      <c r="AR152" s="20">
        <v>499</v>
      </c>
      <c r="AS152" s="20">
        <f t="shared" si="54"/>
        <v>0.96151415342534596</v>
      </c>
    </row>
    <row r="153" spans="2:45" x14ac:dyDescent="0.3">
      <c r="B153" s="32">
        <v>228</v>
      </c>
      <c r="C153" s="32">
        <v>55754</v>
      </c>
      <c r="D153" s="7">
        <f t="shared" si="40"/>
        <v>501</v>
      </c>
      <c r="E153" s="17">
        <f>1/$E$29-LN($E$29)+($J$16*EXP($J$16/($D$14*$J$15))/(($D$14*$J$15^2)*(1-1.05*($J$17^1.26))))*'F(T,E)'!F133</f>
        <v>106818.58358026901</v>
      </c>
      <c r="F153" s="17">
        <f>1/$F$29-LN($F$29)+($K$16*EXP($K$16/($D$14*$K$15))/(($D$14*$K$15^2)*(1-1.05*($K$17^1.26))))*'F(T,E)'!G133</f>
        <v>5268.035771346048</v>
      </c>
      <c r="G153" s="17">
        <f>1/$G$29-LN($G$29)+($L$16*EXP($L$16/($D$14*$L$15))/(($D$14*$L$15^2)*(1-1.05*($L$17^1.26))))*'F(T,E)'!H133</f>
        <v>232.77014362232222</v>
      </c>
      <c r="H153" s="17">
        <f>1/$H$29-LN($H$29)+($M$16*EXP($M$16/($D$14*$M$15))/(($D$14*$M$15^2)*(1-1.05*($M$17^1.26))))*'F(T,E)'!I133</f>
        <v>16.836795268678426</v>
      </c>
      <c r="I153" s="17">
        <f>1/$I$29-LN($I$29)+($N$16*EXP($N$16/($D$14*$N$15))/(($D$14*$N$15^2)*(1-1.05*($N$17^1.26))))*'F(T,E)'!J133</f>
        <v>-1.8906953129933068E-2</v>
      </c>
      <c r="J153" s="17">
        <f>1/$J$29-LN($J$29)+($O$16*EXP($O$16/($D$14*$O$15))/(($D$14*$O$15^2)*(1-1.05*($O$17^1.26))))*'F(T,E)'!K133</f>
        <v>-1.5022818550517765</v>
      </c>
      <c r="K153" s="17">
        <f>1/$K$29-LN($K$29)+($P$16*EXP($P$16/($D$14*$P$15))/(($D$14*$P$15^2)*(1-1.05*($P$17^1.26))))*'F(T,E)'!L133</f>
        <v>0.31132372258694507</v>
      </c>
      <c r="L153" s="17">
        <f>1/$L$29-LN($L$29)+($Q$16*EXP($Q$16/($D$14*$Q$15))/(($D$14*$Q$15^2)*(1-1.05*($Q$17^1.26))))*'F(T,E)'!M133</f>
        <v>-1.1826704177786551</v>
      </c>
      <c r="M153" s="17">
        <f>1/$M$29-LN($M$29)+($R$16*EXP($R$16/($D$14*$R$15))/(($D$14*$R$15^2)*(1-1.05*($R$17^1.26))))*'F(T,E)'!N133</f>
        <v>674.57016648190631</v>
      </c>
      <c r="N153" s="17">
        <f>1/$N$29-LN($N$29)+($S$16*EXP($S$16/($D$14*$S$15))/(($D$14*$S$15^2)*(1-1.05*($S$17^1.26))))*'F(T,E)'!O133</f>
        <v>-11.512708290127398</v>
      </c>
      <c r="O153" s="25"/>
      <c r="P153" s="20">
        <f t="shared" si="30"/>
        <v>106807.00474727392</v>
      </c>
      <c r="Q153" s="20">
        <f t="shared" si="31"/>
        <v>5259.4671718333193</v>
      </c>
      <c r="R153" s="20">
        <f t="shared" si="32"/>
        <v>227.34368073774104</v>
      </c>
      <c r="S153" s="20">
        <f t="shared" si="33"/>
        <v>14.184635870767039</v>
      </c>
      <c r="T153" s="20">
        <f t="shared" si="34"/>
        <v>0.56032728153104205</v>
      </c>
      <c r="U153" s="20">
        <f t="shared" si="35"/>
        <v>0.18501836008323003</v>
      </c>
      <c r="V153" s="20">
        <f t="shared" si="36"/>
        <v>0.68689604219769962</v>
      </c>
      <c r="W153" s="20">
        <f t="shared" si="37"/>
        <v>0.24086174878993871</v>
      </c>
      <c r="X153" s="20">
        <f t="shared" si="38"/>
        <v>668.0657798404028</v>
      </c>
      <c r="Y153" s="20">
        <f t="shared" si="39"/>
        <v>1.0002071942326493E-5</v>
      </c>
      <c r="Z153" s="25"/>
      <c r="AA153" s="20">
        <f t="shared" si="41"/>
        <v>6.2978231727263316E-3</v>
      </c>
      <c r="AB153" s="20">
        <f t="shared" si="42"/>
        <v>0.17767856173907601</v>
      </c>
      <c r="AC153" s="20">
        <f t="shared" si="43"/>
        <v>27.987744633710832</v>
      </c>
      <c r="AD153" s="20">
        <f t="shared" si="44"/>
        <v>0.22009703839663486</v>
      </c>
      <c r="AE153" s="20">
        <f t="shared" si="45"/>
        <v>41798.07495405597</v>
      </c>
      <c r="AF153" s="20">
        <f t="shared" si="46"/>
        <v>939.22093535315707</v>
      </c>
      <c r="AG153" s="20">
        <f t="shared" si="47"/>
        <v>106.26075365552471</v>
      </c>
      <c r="AH153" s="20">
        <f t="shared" si="48"/>
        <v>0.89286988977916681</v>
      </c>
      <c r="AI153" s="20">
        <f t="shared" si="49"/>
        <v>0</v>
      </c>
      <c r="AJ153" s="20">
        <v>50</v>
      </c>
      <c r="AK153" s="25"/>
      <c r="AL153" s="20">
        <f t="shared" si="50"/>
        <v>42922.841331011448</v>
      </c>
      <c r="AM153" s="25"/>
      <c r="AN153" s="20">
        <f t="shared" si="51"/>
        <v>164638632.78876007</v>
      </c>
      <c r="AO153" s="20">
        <f t="shared" si="52"/>
        <v>12831.158668988552</v>
      </c>
      <c r="AQ153" s="20">
        <f t="shared" si="53"/>
        <v>1.6737536418258941E-3</v>
      </c>
      <c r="AR153" s="20">
        <v>501</v>
      </c>
      <c r="AS153" s="20">
        <f t="shared" si="54"/>
        <v>2.3013880024731055</v>
      </c>
    </row>
    <row r="154" spans="2:45" x14ac:dyDescent="0.3">
      <c r="B154" s="32">
        <v>229</v>
      </c>
      <c r="C154" s="32">
        <v>38540</v>
      </c>
      <c r="D154" s="7">
        <f t="shared" si="40"/>
        <v>502</v>
      </c>
      <c r="E154" s="17">
        <f>1/$E$29-LN($E$29)+($J$16*EXP($J$16/($D$14*$J$15))/(($D$14*$J$15^2)*(1-1.05*($J$17^1.26))))*'F(T,E)'!F134</f>
        <v>112143.3564091297</v>
      </c>
      <c r="F154" s="17">
        <f>1/$F$29-LN($F$29)+($K$16*EXP($K$16/($D$14*$K$15))/(($D$14*$K$15^2)*(1-1.05*($K$17^1.26))))*'F(T,E)'!G134</f>
        <v>5604.4944296650856</v>
      </c>
      <c r="G154" s="17">
        <f>1/$G$29-LN($G$29)+($L$16*EXP($L$16/($D$14*$L$15))/(($D$14*$L$15^2)*(1-1.05*($L$17^1.26))))*'F(T,E)'!H134</f>
        <v>249.03244051590158</v>
      </c>
      <c r="H154" s="17">
        <f>1/$H$29-LN($H$29)+($M$16*EXP($M$16/($D$14*$M$15))/(($D$14*$M$15^2)*(1-1.05*($M$17^1.26))))*'F(T,E)'!I134</f>
        <v>19.184173849990596</v>
      </c>
      <c r="I154" s="17">
        <f>1/$I$29-LN($I$29)+($N$16*EXP($N$16/($D$14*$N$15))/(($D$14*$N$15^2)*(1-1.05*($N$17^1.26))))*'F(T,E)'!J134</f>
        <v>0.42272349075463289</v>
      </c>
      <c r="J154" s="17">
        <f>1/$J$29-LN($J$29)+($O$16*EXP($O$16/($D$14*$O$15))/(($D$14*$O$15^2)*(1-1.05*($O$17^1.26))))*'F(T,E)'!K134</f>
        <v>-1.4890471414608899</v>
      </c>
      <c r="K154" s="17">
        <f>1/$K$29-LN($K$29)+($P$16*EXP($P$16/($D$14*$P$15))/(($D$14*$P$15^2)*(1-1.05*($P$17^1.26))))*'F(T,E)'!L134</f>
        <v>0.31234701092605399</v>
      </c>
      <c r="L154" s="17">
        <f>1/$L$29-LN($L$29)+($Q$16*EXP($Q$16/($D$14*$Q$15))/(($D$14*$Q$15^2)*(1-1.05*($Q$17^1.26))))*'F(T,E)'!M134</f>
        <v>-1.1826574984944893</v>
      </c>
      <c r="M154" s="17">
        <f>1/$M$29-LN($M$29)+($R$16*EXP($R$16/($D$14*$R$15))/(($D$14*$R$15^2)*(1-1.05*($R$17^1.26))))*'F(T,E)'!N134</f>
        <v>686.34995159216351</v>
      </c>
      <c r="N154" s="17">
        <f>1/$N$29-LN($N$29)+($S$16*EXP($S$16/($D$14*$S$15))/(($D$14*$S$15^2)*(1-1.05*($S$17^1.26))))*'F(T,E)'!O134</f>
        <v>-11.512691829485091</v>
      </c>
      <c r="O154" s="25"/>
      <c r="P154" s="20">
        <f t="shared" si="30"/>
        <v>112131.72892767221</v>
      </c>
      <c r="Q154" s="20">
        <f t="shared" si="31"/>
        <v>5595.8638755694565</v>
      </c>
      <c r="R154" s="20">
        <f t="shared" si="32"/>
        <v>243.53717093232967</v>
      </c>
      <c r="S154" s="20">
        <f t="shared" si="33"/>
        <v>16.387646086436384</v>
      </c>
      <c r="T154" s="20">
        <f t="shared" si="34"/>
        <v>0.73314088417283463</v>
      </c>
      <c r="U154" s="20">
        <f t="shared" si="35"/>
        <v>0.1870944685917747</v>
      </c>
      <c r="V154" s="20">
        <f t="shared" si="36"/>
        <v>0.68731279525628475</v>
      </c>
      <c r="W154" s="20">
        <f t="shared" si="37"/>
        <v>0.24086425654266383</v>
      </c>
      <c r="X154" s="20">
        <f t="shared" si="38"/>
        <v>679.82811160300128</v>
      </c>
      <c r="Y154" s="20">
        <f t="shared" si="39"/>
        <v>1.0002236582563341E-5</v>
      </c>
      <c r="Z154" s="25"/>
      <c r="AA154" s="20">
        <f t="shared" si="41"/>
        <v>5.9760151048887621E-3</v>
      </c>
      <c r="AB154" s="20">
        <f t="shared" si="42"/>
        <v>0.16633561350966458</v>
      </c>
      <c r="AC154" s="20">
        <f t="shared" si="43"/>
        <v>25.978786098549055</v>
      </c>
      <c r="AD154" s="20">
        <f t="shared" si="44"/>
        <v>0.17945029486878242</v>
      </c>
      <c r="AE154" s="20">
        <f t="shared" si="45"/>
        <v>31833.129325250844</v>
      </c>
      <c r="AF154" s="20">
        <f t="shared" si="46"/>
        <v>1004.4450631457114</v>
      </c>
      <c r="AG154" s="20">
        <f t="shared" si="47"/>
        <v>117.94227725475541</v>
      </c>
      <c r="AH154" s="20">
        <f t="shared" si="48"/>
        <v>0.99644662452072164</v>
      </c>
      <c r="AI154" s="20">
        <f t="shared" si="49"/>
        <v>0</v>
      </c>
      <c r="AJ154" s="20">
        <v>50</v>
      </c>
      <c r="AK154" s="25"/>
      <c r="AL154" s="20">
        <f t="shared" si="50"/>
        <v>33032.843660297869</v>
      </c>
      <c r="AM154" s="25"/>
      <c r="AN154" s="20">
        <f t="shared" si="51"/>
        <v>30328770.949921373</v>
      </c>
      <c r="AO154" s="20">
        <f t="shared" si="52"/>
        <v>5507.1563397021309</v>
      </c>
      <c r="AQ154" s="20">
        <f t="shared" si="53"/>
        <v>7.1837806837810731E-4</v>
      </c>
      <c r="AR154" s="20">
        <v>502</v>
      </c>
      <c r="AS154" s="20">
        <f t="shared" si="54"/>
        <v>1.4289455992999822</v>
      </c>
    </row>
    <row r="155" spans="2:45" x14ac:dyDescent="0.3">
      <c r="B155" s="32">
        <v>230</v>
      </c>
      <c r="C155" s="32">
        <v>25206</v>
      </c>
      <c r="D155" s="7">
        <f t="shared" si="40"/>
        <v>503</v>
      </c>
      <c r="E155" s="17">
        <f>1/$E$29-LN($E$29)+($J$16*EXP($J$16/($D$14*$J$15))/(($D$14*$J$15^2)*(1-1.05*($J$17^1.26))))*'F(T,E)'!F135</f>
        <v>117711.62043494555</v>
      </c>
      <c r="F155" s="17">
        <f>1/$F$29-LN($F$29)+($K$16*EXP($K$16/($D$14*$K$15))/(($D$14*$K$15^2)*(1-1.05*($K$17^1.26))))*'F(T,E)'!G135</f>
        <v>5960.9987067114134</v>
      </c>
      <c r="G155" s="17">
        <f>1/$G$29-LN($G$29)+($L$16*EXP($L$16/($D$14*$L$15))/(($D$14*$L$15^2)*(1-1.05*($L$17^1.26))))*'F(T,E)'!H135</f>
        <v>266.34677008295034</v>
      </c>
      <c r="H155" s="17">
        <f>1/$H$29-LN($H$29)+($M$16*EXP($M$16/($D$14*$M$15))/(($D$14*$M$15^2)*(1-1.05*($M$17^1.26))))*'F(T,E)'!I135</f>
        <v>21.71565344906637</v>
      </c>
      <c r="I155" s="17">
        <f>1/$I$29-LN($I$29)+($N$16*EXP($N$16/($D$14*$N$15))/(($D$14*$N$15^2)*(1-1.05*($N$17^1.26))))*'F(T,E)'!J135</f>
        <v>0.91143509965380787</v>
      </c>
      <c r="J155" s="17">
        <f>1/$J$29-LN($J$29)+($O$16*EXP($O$16/($D$14*$O$15))/(($D$14*$O$15^2)*(1-1.05*($O$17^1.26))))*'F(T,E)'!K135</f>
        <v>-1.4747119759506109</v>
      </c>
      <c r="K155" s="17">
        <f>1/$K$29-LN($K$29)+($P$16*EXP($P$16/($D$14*$P$15))/(($D$14*$P$15^2)*(1-1.05*($P$17^1.26))))*'F(T,E)'!L135</f>
        <v>0.3134835100916139</v>
      </c>
      <c r="L155" s="17">
        <f>1/$L$29-LN($L$29)+($Q$16*EXP($Q$16/($D$14*$Q$15))/(($D$14*$Q$15^2)*(1-1.05*($Q$17^1.26))))*'F(T,E)'!M135</f>
        <v>-1.182643083659501</v>
      </c>
      <c r="M155" s="17">
        <f>1/$M$29-LN($M$29)+($R$16*EXP($R$16/($D$14*$R$15))/(($D$14*$R$15^2)*(1-1.05*($R$17^1.26))))*'F(T,E)'!N135</f>
        <v>698.28682583902821</v>
      </c>
      <c r="N155" s="17">
        <f>1/$N$29-LN($N$29)+($S$16*EXP($S$16/($D$14*$S$15))/(($D$14*$S$15^2)*(1-1.05*($S$17^1.26))))*'F(T,E)'!O135</f>
        <v>-11.512674066720844</v>
      </c>
      <c r="O155" s="25"/>
      <c r="P155" s="20">
        <f t="shared" si="30"/>
        <v>117699.94449152367</v>
      </c>
      <c r="Q155" s="20">
        <f t="shared" si="31"/>
        <v>5952.306442552931</v>
      </c>
      <c r="R155" s="20">
        <f t="shared" si="32"/>
        <v>260.78308112797771</v>
      </c>
      <c r="S155" s="20">
        <f t="shared" si="33"/>
        <v>18.782716345414734</v>
      </c>
      <c r="T155" s="20">
        <f t="shared" si="34"/>
        <v>0.9562113806055732</v>
      </c>
      <c r="U155" s="20">
        <f t="shared" si="35"/>
        <v>0.18936530783369376</v>
      </c>
      <c r="V155" s="20">
        <f t="shared" si="36"/>
        <v>0.68777583110939555</v>
      </c>
      <c r="W155" s="20">
        <f t="shared" si="37"/>
        <v>0.24086705462049277</v>
      </c>
      <c r="X155" s="20">
        <f t="shared" si="38"/>
        <v>691.74760468305885</v>
      </c>
      <c r="Y155" s="20">
        <f t="shared" si="39"/>
        <v>1.0002414249734535E-5</v>
      </c>
      <c r="Z155" s="25"/>
      <c r="AA155" s="20">
        <f t="shared" si="41"/>
        <v>5.6717559675074965E-3</v>
      </c>
      <c r="AB155" s="20">
        <f t="shared" si="42"/>
        <v>0.15575767775448662</v>
      </c>
      <c r="AC155" s="20">
        <f t="shared" si="43"/>
        <v>24.126188059254176</v>
      </c>
      <c r="AD155" s="20">
        <f t="shared" si="44"/>
        <v>0.1483854497913942</v>
      </c>
      <c r="AE155" s="20">
        <f t="shared" si="45"/>
        <v>23924.482021825548</v>
      </c>
      <c r="AF155" s="20">
        <f t="shared" si="46"/>
        <v>1072.7122749787368</v>
      </c>
      <c r="AG155" s="20">
        <f t="shared" si="47"/>
        <v>130.84092230478697</v>
      </c>
      <c r="AH155" s="20">
        <f t="shared" si="48"/>
        <v>1.1115518615374798</v>
      </c>
      <c r="AI155" s="20">
        <f t="shared" si="49"/>
        <v>0</v>
      </c>
      <c r="AJ155" s="20">
        <v>50</v>
      </c>
      <c r="AK155" s="25"/>
      <c r="AL155" s="20">
        <f t="shared" si="50"/>
        <v>25203.582773913375</v>
      </c>
      <c r="AM155" s="25"/>
      <c r="AN155" s="20">
        <f t="shared" si="51"/>
        <v>5.842981953861889</v>
      </c>
      <c r="AO155" s="20">
        <f t="shared" si="52"/>
        <v>2.4172260866253055</v>
      </c>
      <c r="AQ155" s="20">
        <f t="shared" si="53"/>
        <v>3.1531376627615057E-7</v>
      </c>
      <c r="AR155" s="20">
        <v>503</v>
      </c>
      <c r="AS155" s="20">
        <f t="shared" si="54"/>
        <v>9.589883704773886E-4</v>
      </c>
    </row>
    <row r="156" spans="2:45" x14ac:dyDescent="0.3">
      <c r="B156" s="32">
        <v>232</v>
      </c>
      <c r="C156" s="32">
        <v>15966</v>
      </c>
      <c r="D156" s="7">
        <f t="shared" si="40"/>
        <v>505</v>
      </c>
      <c r="E156" s="17">
        <f>1/$E$29-LN($E$29)+($J$16*EXP($J$16/($D$14*$J$15))/(($D$14*$J$15^2)*(1-1.05*($J$17^1.26))))*'F(T,E)'!F136</f>
        <v>129619.39054590133</v>
      </c>
      <c r="F156" s="17">
        <f>1/$F$29-LN($F$29)+($K$16*EXP($K$16/($D$14*$K$15))/(($D$14*$K$15^2)*(1-1.05*($K$17^1.26))))*'F(T,E)'!G136</f>
        <v>6738.6299391782604</v>
      </c>
      <c r="G156" s="17">
        <f>1/$G$29-LN($G$29)+($L$16*EXP($L$16/($D$14*$L$15))/(($D$14*$L$15^2)*(1-1.05*($L$17^1.26))))*'F(T,E)'!H136</f>
        <v>304.38893347438631</v>
      </c>
      <c r="H156" s="17">
        <f>1/$H$29-LN($H$29)+($M$16*EXP($M$16/($D$14*$M$15))/(($D$14*$M$15^2)*(1-1.05*($M$17^1.26))))*'F(T,E)'!I136</f>
        <v>27.386340799844373</v>
      </c>
      <c r="I156" s="17">
        <f>1/$I$29-LN($I$29)+($N$16*EXP($N$16/($D$14*$N$15))/(($D$14*$N$15^2)*(1-1.05*($N$17^1.26))))*'F(T,E)'!J136</f>
        <v>2.0497755222349419</v>
      </c>
      <c r="J156" s="17">
        <f>1/$J$29-LN($J$29)+($O$16*EXP($O$16/($D$14*$O$15))/(($D$14*$O$15^2)*(1-1.05*($O$17^1.26))))*'F(T,E)'!K136</f>
        <v>-1.4423875743579575</v>
      </c>
      <c r="K156" s="17">
        <f>1/$K$29-LN($K$29)+($P$16*EXP($P$16/($D$14*$P$15))/(($D$14*$P$15^2)*(1-1.05*($P$17^1.26))))*'F(T,E)'!L136</f>
        <v>0.31614535207201766</v>
      </c>
      <c r="L156" s="17">
        <f>1/$L$29-LN($L$29)+($Q$16*EXP($Q$16/($D$14*$Q$15))/(($D$14*$Q$15^2)*(1-1.05*($Q$17^1.26))))*'F(T,E)'!M136</f>
        <v>-1.1826090851497888</v>
      </c>
      <c r="M156" s="17">
        <f>1/$M$29-LN($M$29)+($R$16*EXP($R$16/($D$14*$R$15))/(($D$14*$R$15^2)*(1-1.05*($R$17^1.26))))*'F(T,E)'!N136</f>
        <v>722.63750049050213</v>
      </c>
      <c r="N156" s="17">
        <f>1/$N$29-LN($N$29)+($S$16*EXP($S$16/($D$14*$S$15))/(($D$14*$S$15^2)*(1-1.05*($S$17^1.26))))*'F(T,E)'!O136</f>
        <v>-11.512634239182537</v>
      </c>
      <c r="O156" s="25"/>
      <c r="P156" s="20">
        <f t="shared" si="30"/>
        <v>129607.61823364247</v>
      </c>
      <c r="Q156" s="20">
        <f t="shared" si="31"/>
        <v>6729.8149813782438</v>
      </c>
      <c r="R156" s="20">
        <f t="shared" si="32"/>
        <v>298.68952880566866</v>
      </c>
      <c r="S156" s="20">
        <f t="shared" si="33"/>
        <v>24.199988636257959</v>
      </c>
      <c r="T156" s="20">
        <f t="shared" si="34"/>
        <v>1.5875705993853322</v>
      </c>
      <c r="U156" s="20">
        <f t="shared" si="35"/>
        <v>0.19457092989926586</v>
      </c>
      <c r="V156" s="20">
        <f t="shared" si="36"/>
        <v>0.68886104978140295</v>
      </c>
      <c r="W156" s="20">
        <f t="shared" si="37"/>
        <v>0.240873654208479</v>
      </c>
      <c r="X156" s="20">
        <f t="shared" si="38"/>
        <v>716.05914755517233</v>
      </c>
      <c r="Y156" s="20">
        <f t="shared" si="39"/>
        <v>1.000281262521954E-5</v>
      </c>
      <c r="Z156" s="25"/>
      <c r="AA156" s="20">
        <f t="shared" si="41"/>
        <v>5.1118854758688383E-3</v>
      </c>
      <c r="AB156" s="20">
        <f t="shared" si="42"/>
        <v>0.13668339099605073</v>
      </c>
      <c r="AC156" s="20">
        <f t="shared" si="43"/>
        <v>20.838026849203729</v>
      </c>
      <c r="AD156" s="20">
        <f t="shared" si="44"/>
        <v>0.10502662461845451</v>
      </c>
      <c r="AE156" s="20">
        <f t="shared" si="45"/>
        <v>13319.515967903128</v>
      </c>
      <c r="AF156" s="20">
        <f t="shared" si="46"/>
        <v>1218.0094813088995</v>
      </c>
      <c r="AG156" s="20">
        <f t="shared" si="47"/>
        <v>160.77212908168713</v>
      </c>
      <c r="AH156" s="20">
        <f t="shared" si="48"/>
        <v>1.3813852389950714</v>
      </c>
      <c r="AI156" s="20">
        <f t="shared" si="49"/>
        <v>0</v>
      </c>
      <c r="AJ156" s="20">
        <v>50</v>
      </c>
      <c r="AK156" s="25"/>
      <c r="AL156" s="20">
        <f t="shared" si="50"/>
        <v>14770.763812283005</v>
      </c>
      <c r="AM156" s="25"/>
      <c r="AN156" s="20">
        <f t="shared" si="51"/>
        <v>1428589.5444282561</v>
      </c>
      <c r="AO156" s="20">
        <f t="shared" si="52"/>
        <v>1195.2361877169951</v>
      </c>
      <c r="AQ156" s="20">
        <f t="shared" si="53"/>
        <v>1.5591194635200591E-4</v>
      </c>
      <c r="AR156" s="20">
        <v>505</v>
      </c>
      <c r="AS156" s="20">
        <f t="shared" si="54"/>
        <v>0.74861342084241211</v>
      </c>
    </row>
    <row r="157" spans="2:45" x14ac:dyDescent="0.3">
      <c r="B157" s="32">
        <v>233</v>
      </c>
      <c r="C157" s="32">
        <v>10318</v>
      </c>
      <c r="D157" s="7">
        <f t="shared" si="40"/>
        <v>506</v>
      </c>
      <c r="E157" s="17">
        <f>1/$E$29-LN($E$29)+($J$16*EXP($J$16/($D$14*$J$15))/(($D$14*$J$15^2)*(1-1.05*($J$17^1.26))))*'F(T,E)'!F137</f>
        <v>135980.228156005</v>
      </c>
      <c r="F157" s="17">
        <f>1/$F$29-LN($F$29)+($K$16*EXP($K$16/($D$14*$K$15))/(($D$14*$K$15^2)*(1-1.05*($K$17^1.26))))*'F(T,E)'!G137</f>
        <v>7162.1429865857499</v>
      </c>
      <c r="G157" s="17">
        <f>1/$G$29-LN($G$29)+($L$16*EXP($L$16/($D$14*$L$15))/(($D$14*$L$15^2)*(1-1.05*($L$17^1.26))))*'F(T,E)'!H137</f>
        <v>325.25451254597937</v>
      </c>
      <c r="H157" s="17">
        <f>1/$H$29-LN($H$29)+($M$16*EXP($M$16/($D$14*$M$15))/(($D$14*$M$15^2)*(1-1.05*($M$17^1.26))))*'F(T,E)'!I137</f>
        <v>30.555686805539739</v>
      </c>
      <c r="I157" s="17">
        <f>1/$I$29-LN($I$29)+($N$16*EXP($N$16/($D$14*$N$15))/(($D$14*$N$15^2)*(1-1.05*($N$17^1.26))))*'F(T,E)'!J137</f>
        <v>2.7104524756351056</v>
      </c>
      <c r="J157" s="17">
        <f>1/$J$29-LN($J$29)+($O$16*EXP($O$16/($D$14*$O$15))/(($D$14*$O$15^2)*(1-1.05*($O$17^1.26))))*'F(T,E)'!K137</f>
        <v>-1.4242054951126599</v>
      </c>
      <c r="K157" s="17">
        <f>1/$K$29-LN($K$29)+($P$16*EXP($P$16/($D$14*$P$15))/(($D$14*$P$15^2)*(1-1.05*($P$17^1.26))))*'F(T,E)'!L137</f>
        <v>0.31769845602010632</v>
      </c>
      <c r="L157" s="17">
        <f>1/$L$29-LN($L$29)+($Q$16*EXP($Q$16/($D$14*$Q$15))/(($D$14*$Q$15^2)*(1-1.05*($Q$17^1.26))))*'F(T,E)'!M137</f>
        <v>-1.1825891144171279</v>
      </c>
      <c r="M157" s="17">
        <f>1/$M$29-LN($M$29)+($R$16*EXP($R$16/($D$14*$R$15))/(($D$14*$R$15^2)*(1-1.05*($R$17^1.26))))*'F(T,E)'!N137</f>
        <v>735.05414212744677</v>
      </c>
      <c r="N157" s="17">
        <f>1/$N$29-LN($N$29)+($S$16*EXP($S$16/($D$14*$S$15))/(($D$14*$S$15^2)*(1-1.05*($S$17^1.26))))*'F(T,E)'!O137</f>
        <v>-11.512611959102305</v>
      </c>
      <c r="O157" s="25"/>
      <c r="P157" s="20">
        <f t="shared" si="30"/>
        <v>135968.40793469522</v>
      </c>
      <c r="Q157" s="20">
        <f t="shared" si="31"/>
        <v>7153.2670417571253</v>
      </c>
      <c r="R157" s="20">
        <f t="shared" si="32"/>
        <v>319.48779347796841</v>
      </c>
      <c r="S157" s="20">
        <f t="shared" si="33"/>
        <v>27.25061086752487</v>
      </c>
      <c r="T157" s="20">
        <f t="shared" si="34"/>
        <v>2.0115479336885378</v>
      </c>
      <c r="U157" s="20">
        <f t="shared" si="35"/>
        <v>0.19755133075255149</v>
      </c>
      <c r="V157" s="20">
        <f t="shared" si="36"/>
        <v>0.68949471001002693</v>
      </c>
      <c r="W157" s="20">
        <f t="shared" si="37"/>
        <v>0.24087753087596447</v>
      </c>
      <c r="X157" s="20">
        <f t="shared" si="38"/>
        <v>728.45868739541629</v>
      </c>
      <c r="Y157" s="20">
        <f t="shared" si="39"/>
        <v>1.0003035488940792E-5</v>
      </c>
      <c r="Z157" s="25"/>
      <c r="AA157" s="20">
        <f t="shared" si="41"/>
        <v>4.8544256686253529E-3</v>
      </c>
      <c r="AB157" s="20">
        <f t="shared" si="42"/>
        <v>0.12809016959040112</v>
      </c>
      <c r="AC157" s="20">
        <f t="shared" si="43"/>
        <v>19.379449488841537</v>
      </c>
      <c r="AD157" s="20">
        <f t="shared" si="44"/>
        <v>8.9630856019198055E-2</v>
      </c>
      <c r="AE157" s="20">
        <f t="shared" si="45"/>
        <v>9981.2622375925057</v>
      </c>
      <c r="AF157" s="20">
        <f t="shared" si="46"/>
        <v>1294.741913791597</v>
      </c>
      <c r="AG157" s="20">
        <f t="shared" si="47"/>
        <v>178.07214149609391</v>
      </c>
      <c r="AH157" s="20">
        <f t="shared" si="48"/>
        <v>1.5389562355342374</v>
      </c>
      <c r="AI157" s="20">
        <f t="shared" si="49"/>
        <v>0</v>
      </c>
      <c r="AJ157" s="20">
        <v>50</v>
      </c>
      <c r="AK157" s="25"/>
      <c r="AL157" s="20">
        <f t="shared" si="50"/>
        <v>11525.217274055849</v>
      </c>
      <c r="AM157" s="25"/>
      <c r="AN157" s="20">
        <f t="shared" si="51"/>
        <v>1457373.5467788347</v>
      </c>
      <c r="AO157" s="20">
        <f t="shared" si="52"/>
        <v>1207.217274055849</v>
      </c>
      <c r="AQ157" s="20">
        <f t="shared" si="53"/>
        <v>1.5747481276259388E-4</v>
      </c>
      <c r="AR157" s="20">
        <v>506</v>
      </c>
      <c r="AS157" s="20">
        <f t="shared" si="54"/>
        <v>-1.1700109265902783</v>
      </c>
    </row>
    <row r="158" spans="2:45" x14ac:dyDescent="0.3">
      <c r="B158" s="32">
        <v>235</v>
      </c>
      <c r="C158" s="32">
        <v>6960</v>
      </c>
      <c r="D158" s="7">
        <f t="shared" si="40"/>
        <v>508</v>
      </c>
      <c r="E158" s="17">
        <f>1/$E$29-LN($E$29)+($J$16*EXP($J$16/($D$14*$J$15))/(($D$14*$J$15^2)*(1-1.05*($J$17^1.26))))*'F(T,E)'!F138</f>
        <v>149572.10860979129</v>
      </c>
      <c r="F158" s="17">
        <f>1/$F$29-LN($F$29)+($K$16*EXP($K$16/($D$14*$K$15))/(($D$14*$K$15^2)*(1-1.05*($K$17^1.26))))*'F(T,E)'!G138</f>
        <v>8084.9867210428192</v>
      </c>
      <c r="G158" s="17">
        <f>1/$G$29-LN($G$29)+($L$16*EXP($L$16/($D$14*$L$15))/(($D$14*$L$15^2)*(1-1.05*($L$17^1.26))))*'F(T,E)'!H138</f>
        <v>371.04812024412649</v>
      </c>
      <c r="H158" s="17">
        <f>1/$H$29-LN($H$29)+($M$16*EXP($M$16/($D$14*$M$15))/(($D$14*$M$15^2)*(1-1.05*($M$17^1.26))))*'F(T,E)'!I138</f>
        <v>37.64567556215934</v>
      </c>
      <c r="I158" s="17">
        <f>1/$I$29-LN($I$29)+($N$16*EXP($N$16/($D$14*$N$15))/(($D$14*$N$15^2)*(1-1.05*($N$17^1.26))))*'F(T,E)'!J138</f>
        <v>4.2465549679502805</v>
      </c>
      <c r="J158" s="17">
        <f>1/$J$29-LN($J$29)+($O$16*EXP($O$16/($D$14*$O$15))/(($D$14*$O$15^2)*(1-1.05*($O$17^1.26))))*'F(T,E)'!K138</f>
        <v>-1.3832651326865575</v>
      </c>
      <c r="K158" s="17">
        <f>1/$K$29-LN($K$29)+($P$16*EXP($P$16/($D$14*$P$15))/(($D$14*$P$15^2)*(1-1.05*($P$17^1.26))))*'F(T,E)'!L138</f>
        <v>0.32132920706731699</v>
      </c>
      <c r="L158" s="17">
        <f>1/$L$29-LN($L$29)+($Q$16*EXP($Q$16/($D$14*$Q$15))/(($D$14*$Q$15^2)*(1-1.05*($Q$17^1.26))))*'F(T,E)'!M138</f>
        <v>-1.1825421043881372</v>
      </c>
      <c r="M158" s="17">
        <f>1/$M$29-LN($M$29)+($R$16*EXP($R$16/($D$14*$R$15))/(($D$14*$R$15^2)*(1-1.05*($R$17^1.26))))*'F(T,E)'!N138</f>
        <v>760.37717211938423</v>
      </c>
      <c r="N158" s="17">
        <f>1/$N$29-LN($N$29)+($S$16*EXP($S$16/($D$14*$S$15))/(($D$14*$S$15^2)*(1-1.05*($S$17^1.26))))*'F(T,E)'!O138</f>
        <v>-11.51256207072665</v>
      </c>
      <c r="O158" s="25"/>
      <c r="P158" s="20">
        <f t="shared" si="30"/>
        <v>149560.19311573601</v>
      </c>
      <c r="Q158" s="20">
        <f t="shared" si="31"/>
        <v>8075.9895133621403</v>
      </c>
      <c r="R158" s="20">
        <f t="shared" si="32"/>
        <v>365.14781799172732</v>
      </c>
      <c r="S158" s="20">
        <f t="shared" si="33"/>
        <v>34.115911668847367</v>
      </c>
      <c r="T158" s="20">
        <f t="shared" si="34"/>
        <v>3.111462193551028</v>
      </c>
      <c r="U158" s="20">
        <f t="shared" si="35"/>
        <v>0.2044019157001277</v>
      </c>
      <c r="V158" s="20">
        <f t="shared" si="36"/>
        <v>0.69097738734873748</v>
      </c>
      <c r="W158" s="20">
        <f t="shared" si="37"/>
        <v>0.24088665654089664</v>
      </c>
      <c r="X158" s="20">
        <f t="shared" si="38"/>
        <v>753.74771971694645</v>
      </c>
      <c r="Y158" s="20">
        <f t="shared" si="39"/>
        <v>1.0003534531588994E-5</v>
      </c>
      <c r="Z158" s="25"/>
      <c r="AA158" s="20">
        <f t="shared" si="41"/>
        <v>4.3802489820058549E-3</v>
      </c>
      <c r="AB158" s="20">
        <f t="shared" si="42"/>
        <v>0.11257577545292886</v>
      </c>
      <c r="AC158" s="20">
        <f t="shared" si="43"/>
        <v>16.78351356494332</v>
      </c>
      <c r="AD158" s="20">
        <f t="shared" si="44"/>
        <v>6.6790098015675925E-2</v>
      </c>
      <c r="AE158" s="20">
        <f t="shared" si="45"/>
        <v>5765.2237455262984</v>
      </c>
      <c r="AF158" s="20">
        <f t="shared" si="46"/>
        <v>1455.2253410418768</v>
      </c>
      <c r="AG158" s="20">
        <f t="shared" si="47"/>
        <v>218.09521373470901</v>
      </c>
      <c r="AH158" s="20">
        <f t="shared" si="48"/>
        <v>1.9076208560390608</v>
      </c>
      <c r="AI158" s="20">
        <f t="shared" si="49"/>
        <v>0</v>
      </c>
      <c r="AJ158" s="20">
        <v>50</v>
      </c>
      <c r="AK158" s="25"/>
      <c r="AL158" s="20">
        <f t="shared" si="50"/>
        <v>7507.4191808463183</v>
      </c>
      <c r="AM158" s="25"/>
      <c r="AN158" s="20">
        <f t="shared" si="51"/>
        <v>299667.75955845416</v>
      </c>
      <c r="AO158" s="20">
        <f t="shared" si="52"/>
        <v>547.41918084631834</v>
      </c>
      <c r="AQ158" s="20">
        <f t="shared" si="53"/>
        <v>7.1407802770090626E-5</v>
      </c>
      <c r="AR158" s="20">
        <v>508</v>
      </c>
      <c r="AS158" s="20">
        <f t="shared" si="54"/>
        <v>-0.78652181156080214</v>
      </c>
    </row>
    <row r="159" spans="2:45" x14ac:dyDescent="0.3">
      <c r="B159" s="32">
        <v>237</v>
      </c>
      <c r="C159" s="32">
        <v>5302</v>
      </c>
      <c r="D159" s="7">
        <f t="shared" si="40"/>
        <v>510</v>
      </c>
      <c r="E159" s="17">
        <f>1/$E$29-LN($E$29)+($J$16*EXP($J$16/($D$14*$J$15))/(($D$14*$J$15^2)*(1-1.05*($J$17^1.26))))*'F(T,E)'!F139</f>
        <v>164404.19116001556</v>
      </c>
      <c r="F159" s="17">
        <f>1/$F$29-LN($F$29)+($K$16*EXP($K$16/($D$14*$K$15))/(($D$14*$K$15^2)*(1-1.05*($K$17^1.26))))*'F(T,E)'!G139</f>
        <v>9118.2489818668109</v>
      </c>
      <c r="G159" s="17">
        <f>1/$G$29-LN($G$29)+($L$16*EXP($L$16/($D$14*$L$15))/(($D$14*$L$15^2)*(1-1.05*($L$17^1.26))))*'F(T,E)'!H139</f>
        <v>422.80526035435361</v>
      </c>
      <c r="H159" s="17">
        <f>1/$H$29-LN($H$29)+($M$16*EXP($M$16/($D$14*$M$15))/(($D$14*$M$15^2)*(1-1.05*($M$17^1.26))))*'F(T,E)'!I139</f>
        <v>45.862109199495208</v>
      </c>
      <c r="I159" s="17">
        <f>1/$I$29-LN($I$29)+($N$16*EXP($N$16/($D$14*$N$15))/(($D$14*$N$15^2)*(1-1.05*($N$17^1.26))))*'F(T,E)'!J139</f>
        <v>6.1186732406324333</v>
      </c>
      <c r="J159" s="17">
        <f>1/$J$29-LN($J$29)+($O$16*EXP($O$16/($D$14*$O$15))/(($D$14*$O$15^2)*(1-1.05*($O$17^1.26))))*'F(T,E)'!K139</f>
        <v>-1.3354138402530591</v>
      </c>
      <c r="K159" s="17">
        <f>1/$K$29-LN($K$29)+($P$16*EXP($P$16/($D$14*$P$15))/(($D$14*$P$15^2)*(1-1.05*($P$17^1.26))))*'F(T,E)'!L139</f>
        <v>0.3257856648742169</v>
      </c>
      <c r="L159" s="17">
        <f>1/$L$29-LN($L$29)+($Q$16*EXP($Q$16/($D$14*$Q$15))/(($D$14*$Q$15^2)*(1-1.05*($Q$17^1.26))))*'F(T,E)'!M139</f>
        <v>-1.1824838820800845</v>
      </c>
      <c r="M159" s="17">
        <f>1/$M$29-LN($M$29)+($R$16*EXP($R$16/($D$14*$R$15))/(($D$14*$R$15^2)*(1-1.05*($R$17^1.26))))*'F(T,E)'!N139</f>
        <v>786.36276865789682</v>
      </c>
      <c r="N159" s="17">
        <f>1/$N$29-LN($N$29)+($S$16*EXP($S$16/($D$14*$S$15))/(($D$14*$S$15^2)*(1-1.05*($S$17^1.26))))*'F(T,E)'!O139</f>
        <v>-11.512504185296269</v>
      </c>
      <c r="O159" s="25"/>
      <c r="P159" s="20">
        <f t="shared" si="30"/>
        <v>164392.1811132867</v>
      </c>
      <c r="Q159" s="20">
        <f t="shared" si="31"/>
        <v>9109.131448787939</v>
      </c>
      <c r="R159" s="20">
        <f t="shared" si="32"/>
        <v>416.77271931874674</v>
      </c>
      <c r="S159" s="20">
        <f t="shared" si="33"/>
        <v>42.121549719935352</v>
      </c>
      <c r="T159" s="20">
        <f t="shared" si="34"/>
        <v>4.5939360555788804</v>
      </c>
      <c r="U159" s="20">
        <f t="shared" si="35"/>
        <v>0.212657683857774</v>
      </c>
      <c r="V159" s="20">
        <f t="shared" si="36"/>
        <v>0.69279983081411389</v>
      </c>
      <c r="W159" s="20">
        <f t="shared" si="37"/>
        <v>0.24089795913828069</v>
      </c>
      <c r="X159" s="20">
        <f t="shared" si="38"/>
        <v>779.69958983775916</v>
      </c>
      <c r="Y159" s="20">
        <f t="shared" si="39"/>
        <v>1.0004113601457469E-5</v>
      </c>
      <c r="Z159" s="25"/>
      <c r="AA159" s="20">
        <f t="shared" si="41"/>
        <v>3.9553642666624866E-3</v>
      </c>
      <c r="AB159" s="20">
        <f t="shared" si="42"/>
        <v>9.9039108518085839E-2</v>
      </c>
      <c r="AC159" s="20">
        <f t="shared" si="43"/>
        <v>14.559642066426543</v>
      </c>
      <c r="AD159" s="20">
        <f t="shared" si="44"/>
        <v>5.1024797064632983E-2</v>
      </c>
      <c r="AE159" s="20">
        <f t="shared" si="45"/>
        <v>3495.1778449375574</v>
      </c>
      <c r="AF159" s="20">
        <f t="shared" si="46"/>
        <v>1622.7930012118745</v>
      </c>
      <c r="AG159" s="20">
        <f t="shared" si="47"/>
        <v>266.50018153894143</v>
      </c>
      <c r="AH159" s="20">
        <f t="shared" si="48"/>
        <v>2.3605951899360784</v>
      </c>
      <c r="AI159" s="20">
        <f t="shared" si="49"/>
        <v>0</v>
      </c>
      <c r="AJ159" s="20">
        <v>50</v>
      </c>
      <c r="AK159" s="25"/>
      <c r="AL159" s="20">
        <f t="shared" si="50"/>
        <v>5451.545284214586</v>
      </c>
      <c r="AM159" s="25"/>
      <c r="AN159" s="20">
        <f t="shared" si="51"/>
        <v>22363.792030821303</v>
      </c>
      <c r="AO159" s="20">
        <f t="shared" si="52"/>
        <v>149.54528421458599</v>
      </c>
      <c r="AQ159" s="20">
        <f t="shared" si="53"/>
        <v>1.950735475487518E-5</v>
      </c>
      <c r="AR159" s="20">
        <v>510</v>
      </c>
      <c r="AS159" s="20">
        <f t="shared" si="54"/>
        <v>-0.28205447796036587</v>
      </c>
    </row>
    <row r="160" spans="2:45" x14ac:dyDescent="0.3">
      <c r="B160" s="32">
        <v>238</v>
      </c>
      <c r="C160" s="32">
        <v>4372</v>
      </c>
      <c r="D160" s="7">
        <f t="shared" si="40"/>
        <v>511</v>
      </c>
      <c r="E160" s="17">
        <f>1/$E$29-LN($E$29)+($J$16*EXP($J$16/($D$14*$J$15))/(($D$14*$J$15^2)*(1-1.05*($J$17^1.26))))*'F(T,E)'!F140</f>
        <v>172316.92419711666</v>
      </c>
      <c r="F160" s="17">
        <f>1/$F$29-LN($F$29)+($K$16*EXP($K$16/($D$14*$K$15))/(($D$14*$K$15^2)*(1-1.05*($K$17^1.26))))*'F(T,E)'!G140</f>
        <v>9680.0490176223229</v>
      </c>
      <c r="G160" s="17">
        <f>1/$G$29-LN($G$29)+($L$16*EXP($L$16/($D$14*$L$15))/(($D$14*$L$15^2)*(1-1.05*($L$17^1.26))))*'F(T,E)'!H140</f>
        <v>451.14228841302486</v>
      </c>
      <c r="H160" s="17">
        <f>1/$H$29-LN($H$29)+($M$16*EXP($M$16/($D$14*$M$15))/(($D$14*$M$15^2)*(1-1.05*($M$17^1.26))))*'F(T,E)'!I140</f>
        <v>50.444357069901955</v>
      </c>
      <c r="I160" s="17">
        <f>1/$I$29-LN($I$29)+($N$16*EXP($N$16/($D$14*$N$15))/(($D$14*$N$15^2)*(1-1.05*($N$17^1.26))))*'F(T,E)'!J140</f>
        <v>7.2020924290081423</v>
      </c>
      <c r="J160" s="17">
        <f>1/$J$29-LN($J$29)+($O$16*EXP($O$16/($D$14*$O$15))/(($D$14*$O$15^2)*(1-1.05*($O$17^1.26))))*'F(T,E)'!K140</f>
        <v>-1.3085595009262034</v>
      </c>
      <c r="K160" s="17">
        <f>1/$K$29-LN($K$29)+($P$16*EXP($P$16/($D$14*$P$15))/(($D$14*$P$15^2)*(1-1.05*($P$17^1.26))))*'F(T,E)'!L140</f>
        <v>0.32837811342290191</v>
      </c>
      <c r="L160" s="17">
        <f>1/$L$29-LN($L$29)+($Q$16*EXP($Q$16/($D$14*$Q$15))/(($D$14*$Q$15^2)*(1-1.05*($Q$17^1.26))))*'F(T,E)'!M140</f>
        <v>-1.1824497887261467</v>
      </c>
      <c r="M160" s="17">
        <f>1/$M$29-LN($M$29)+($R$16*EXP($R$16/($D$14*$R$15))/(($D$14*$R$15^2)*(1-1.05*($R$17^1.26))))*'F(T,E)'!N140</f>
        <v>799.60763533581508</v>
      </c>
      <c r="N160" s="17">
        <f>1/$N$29-LN($N$29)+($S$16*EXP($S$16/($D$14*$S$15))/(($D$14*$S$15^2)*(1-1.05*($S$17^1.26))))*'F(T,E)'!O140</f>
        <v>-11.51247187386959</v>
      </c>
      <c r="O160" s="25"/>
      <c r="P160" s="20">
        <f t="shared" si="30"/>
        <v>172304.86714145902</v>
      </c>
      <c r="Q160" s="20">
        <f t="shared" si="31"/>
        <v>9670.8716694369268</v>
      </c>
      <c r="R160" s="20">
        <f t="shared" si="32"/>
        <v>445.04411500093858</v>
      </c>
      <c r="S160" s="20">
        <f t="shared" si="33"/>
        <v>46.602698620143578</v>
      </c>
      <c r="T160" s="20">
        <f t="shared" si="34"/>
        <v>5.4977529709801809</v>
      </c>
      <c r="U160" s="20">
        <f t="shared" si="35"/>
        <v>0.21741014398639452</v>
      </c>
      <c r="V160" s="20">
        <f t="shared" si="36"/>
        <v>0.69386130318689021</v>
      </c>
      <c r="W160" s="20">
        <f t="shared" si="37"/>
        <v>0.24090457782134481</v>
      </c>
      <c r="X160" s="20">
        <f t="shared" si="38"/>
        <v>792.92769380993161</v>
      </c>
      <c r="Y160" s="20">
        <f t="shared" si="39"/>
        <v>1.0004436850629013E-5</v>
      </c>
      <c r="Z160" s="25"/>
      <c r="AA160" s="20">
        <f t="shared" si="41"/>
        <v>3.7596868590116356E-3</v>
      </c>
      <c r="AB160" s="20">
        <f t="shared" si="42"/>
        <v>9.2928227854387938E-2</v>
      </c>
      <c r="AC160" s="20">
        <f t="shared" si="43"/>
        <v>13.568900747452211</v>
      </c>
      <c r="AD160" s="20">
        <f t="shared" si="44"/>
        <v>4.4942118058627793E-2</v>
      </c>
      <c r="AE160" s="20">
        <f t="shared" si="45"/>
        <v>2773.1247722295102</v>
      </c>
      <c r="AF160" s="20">
        <f t="shared" si="46"/>
        <v>1708.1085643942527</v>
      </c>
      <c r="AG160" s="20">
        <f t="shared" si="47"/>
        <v>294.32806223864407</v>
      </c>
      <c r="AH160" s="20">
        <f t="shared" si="48"/>
        <v>2.6242939506507108</v>
      </c>
      <c r="AI160" s="20">
        <f t="shared" si="49"/>
        <v>0</v>
      </c>
      <c r="AJ160" s="20">
        <v>50</v>
      </c>
      <c r="AK160" s="25"/>
      <c r="AL160" s="20">
        <f t="shared" si="50"/>
        <v>4841.8962235932822</v>
      </c>
      <c r="AM160" s="25"/>
      <c r="AN160" s="20">
        <f t="shared" si="51"/>
        <v>220802.4609472279</v>
      </c>
      <c r="AO160" s="20">
        <f t="shared" si="52"/>
        <v>469.89622359328223</v>
      </c>
      <c r="AQ160" s="20">
        <f t="shared" si="53"/>
        <v>6.1295362001901561E-5</v>
      </c>
      <c r="AR160" s="20">
        <v>511</v>
      </c>
      <c r="AS160" s="20">
        <f t="shared" si="54"/>
        <v>-1.0747855068464827</v>
      </c>
    </row>
    <row r="161" spans="2:45" x14ac:dyDescent="0.3">
      <c r="B161" s="32">
        <v>239</v>
      </c>
      <c r="C161" s="32">
        <v>3910</v>
      </c>
      <c r="D161" s="7">
        <f t="shared" si="40"/>
        <v>512</v>
      </c>
      <c r="E161" s="17">
        <f>1/$E$29-LN($E$29)+($J$16*EXP($J$16/($D$14*$J$15))/(($D$14*$J$15^2)*(1-1.05*($J$17^1.26))))*'F(T,E)'!F141</f>
        <v>180578.56200098057</v>
      </c>
      <c r="F161" s="17">
        <f>1/$F$29-LN($F$29)+($K$16*EXP($K$16/($D$14*$K$15))/(($D$14*$K$15^2)*(1-1.05*($K$17^1.26))))*'F(T,E)'!G141</f>
        <v>10274.117685242572</v>
      </c>
      <c r="G161" s="17">
        <f>1/$G$29-LN($G$29)+($L$16*EXP($L$16/($D$14*$L$15))/(($D$14*$L$15^2)*(1-1.05*($L$17^1.26))))*'F(T,E)'!H141</f>
        <v>481.24648539846351</v>
      </c>
      <c r="H161" s="17">
        <f>1/$H$29-LN($H$29)+($M$16*EXP($M$16/($D$14*$M$15))/(($D$14*$M$15^2)*(1-1.05*($M$17^1.26))))*'F(T,E)'!I141</f>
        <v>55.372968999258987</v>
      </c>
      <c r="I161" s="17">
        <f>1/$I$29-LN($I$29)+($N$16*EXP($N$16/($D$14*$N$15))/(($D$14*$N$15^2)*(1-1.05*($N$17^1.26))))*'F(T,E)'!J141</f>
        <v>8.396779052764213</v>
      </c>
      <c r="J161" s="17">
        <f>1/$J$29-LN($J$29)+($O$16*EXP($O$16/($D$14*$O$15))/(($D$14*$O$15^2)*(1-1.05*($O$17^1.26))))*'F(T,E)'!K141</f>
        <v>-1.2795532763498882</v>
      </c>
      <c r="K161" s="17">
        <f>1/$K$29-LN($K$29)+($P$16*EXP($P$16/($D$14*$P$15))/(($D$14*$P$15^2)*(1-1.05*($P$17^1.26))))*'F(T,E)'!L141</f>
        <v>0.33124684564896428</v>
      </c>
      <c r="L161" s="17">
        <f>1/$L$29-LN($L$29)+($Q$16*EXP($Q$16/($D$14*$Q$15))/(($D$14*$Q$15^2)*(1-1.05*($Q$17^1.26))))*'F(T,E)'!M141</f>
        <v>-1.1824118939007044</v>
      </c>
      <c r="M161" s="17">
        <f>1/$M$29-LN($M$29)+($R$16*EXP($R$16/($D$14*$R$15))/(($D$14*$R$15^2)*(1-1.05*($R$17^1.26))))*'F(T,E)'!N141</f>
        <v>813.02247963192451</v>
      </c>
      <c r="N161" s="17">
        <f>1/$N$29-LN($N$29)+($S$16*EXP($S$16/($D$14*$S$15))/(($D$14*$S$15^2)*(1-1.05*($S$17^1.26))))*'F(T,E)'!O141</f>
        <v>-11.51243709902856</v>
      </c>
      <c r="O161" s="25"/>
      <c r="P161" s="20">
        <f t="shared" si="30"/>
        <v>180566.45811328624</v>
      </c>
      <c r="Q161" s="20">
        <f t="shared" si="31"/>
        <v>10264.880751623243</v>
      </c>
      <c r="R161" s="20">
        <f t="shared" si="32"/>
        <v>475.08299588152045</v>
      </c>
      <c r="S161" s="20">
        <f t="shared" si="33"/>
        <v>51.432694940676299</v>
      </c>
      <c r="T161" s="20">
        <f t="shared" si="34"/>
        <v>6.5216514231394838</v>
      </c>
      <c r="U161" s="20">
        <f t="shared" si="35"/>
        <v>0.2226410717229021</v>
      </c>
      <c r="V161" s="20">
        <f t="shared" si="36"/>
        <v>0.69503701766187764</v>
      </c>
      <c r="W161" s="20">
        <f t="shared" si="37"/>
        <v>0.24091193467167726</v>
      </c>
      <c r="X161" s="20">
        <f t="shared" si="38"/>
        <v>806.32584176643866</v>
      </c>
      <c r="Y161" s="20">
        <f t="shared" si="39"/>
        <v>1.0004784755898569E-5</v>
      </c>
      <c r="Z161" s="25"/>
      <c r="AA161" s="20">
        <f t="shared" si="41"/>
        <v>3.5743504856432795E-3</v>
      </c>
      <c r="AB161" s="20">
        <f t="shared" si="42"/>
        <v>8.7215597623461399E-2</v>
      </c>
      <c r="AC161" s="20">
        <f t="shared" si="43"/>
        <v>12.650450611030626</v>
      </c>
      <c r="AD161" s="20">
        <f t="shared" si="44"/>
        <v>3.9760058271889595E-2</v>
      </c>
      <c r="AE161" s="20">
        <f t="shared" si="45"/>
        <v>2226.5218127049102</v>
      </c>
      <c r="AF161" s="20">
        <f t="shared" si="46"/>
        <v>1793.6868871148833</v>
      </c>
      <c r="AG161" s="20">
        <f t="shared" si="47"/>
        <v>324.85847772641443</v>
      </c>
      <c r="AH161" s="20">
        <f t="shared" si="48"/>
        <v>2.9162324905752044</v>
      </c>
      <c r="AI161" s="20">
        <f t="shared" si="49"/>
        <v>0</v>
      </c>
      <c r="AJ161" s="20">
        <v>50</v>
      </c>
      <c r="AK161" s="25"/>
      <c r="AL161" s="20">
        <f t="shared" si="50"/>
        <v>4410.7644106541948</v>
      </c>
      <c r="AM161" s="25"/>
      <c r="AN161" s="20">
        <f t="shared" si="51"/>
        <v>250764.99497784302</v>
      </c>
      <c r="AO161" s="20">
        <f t="shared" si="52"/>
        <v>500.76441065419476</v>
      </c>
      <c r="AQ161" s="20">
        <f t="shared" si="53"/>
        <v>6.5321946182068832E-5</v>
      </c>
      <c r="AR161" s="20">
        <v>512</v>
      </c>
      <c r="AS161" s="20">
        <f t="shared" si="54"/>
        <v>-1.2807273929774801</v>
      </c>
    </row>
    <row r="162" spans="2:45" x14ac:dyDescent="0.3">
      <c r="B162" s="32">
        <v>241</v>
      </c>
      <c r="C162" s="32">
        <v>3680</v>
      </c>
      <c r="D162" s="7">
        <f t="shared" si="40"/>
        <v>514</v>
      </c>
      <c r="E162" s="17">
        <f>1/$E$29-LN($E$29)+($J$16*EXP($J$16/($D$14*$J$15))/(($D$14*$J$15^2)*(1-1.05*($J$17^1.26))))*'F(T,E)'!F142</f>
        <v>198204.76664294209</v>
      </c>
      <c r="F162" s="17">
        <f>1/$F$29-LN($F$29)+($K$16*EXP($K$16/($D$14*$K$15))/(($D$14*$K$15^2)*(1-1.05*($K$17^1.26))))*'F(T,E)'!G142</f>
        <v>11566.010476612755</v>
      </c>
      <c r="G162" s="17">
        <f>1/$G$29-LN($G$29)+($L$16*EXP($L$16/($D$14*$L$15))/(($D$14*$L$15^2)*(1-1.05*($L$17^1.26))))*'F(T,E)'!H142</f>
        <v>547.17250381118015</v>
      </c>
      <c r="H162" s="17">
        <f>1/$H$29-LN($H$29)+($M$16*EXP($M$16/($D$14*$M$15))/(($D$14*$M$15^2)*(1-1.05*($M$17^1.26))))*'F(T,E)'!I142</f>
        <v>66.369626329969236</v>
      </c>
      <c r="I162" s="17">
        <f>1/$I$29-LN($I$29)+($N$16*EXP($N$16/($D$14*$N$15))/(($D$14*$N$15^2)*(1-1.05*($N$17^1.26))))*'F(T,E)'!J142</f>
        <v>11.164675803307837</v>
      </c>
      <c r="J162" s="17">
        <f>1/$J$29-LN($J$29)+($O$16*EXP($O$16/($D$14*$O$15))/(($D$14*$O$15^2)*(1-1.05*($O$17^1.26))))*'F(T,E)'!K142</f>
        <v>-1.2144215164304482</v>
      </c>
      <c r="K162" s="17">
        <f>1/$K$29-LN($K$29)+($P$16*EXP($P$16/($D$14*$P$15))/(($D$14*$P$15^2)*(1-1.05*($P$17^1.26))))*'F(T,E)'!L142</f>
        <v>0.33792866725226989</v>
      </c>
      <c r="L162" s="17">
        <f>1/$L$29-LN($L$29)+($Q$16*EXP($Q$16/($D$14*$Q$15))/(($D$14*$Q$15^2)*(1-1.05*($Q$17^1.26))))*'F(T,E)'!M142</f>
        <v>-1.1823230322580043</v>
      </c>
      <c r="M162" s="17">
        <f>1/$M$29-LN($M$29)+($R$16*EXP($R$16/($D$14*$R$15))/(($D$14*$R$15^2)*(1-1.05*($R$17^1.26))))*'F(T,E)'!N142</f>
        <v>840.36792309574116</v>
      </c>
      <c r="N162" s="17">
        <f>1/$N$29-LN($N$29)+($S$16*EXP($S$16/($D$14*$S$15))/(($D$14*$S$15^2)*(1-1.05*($S$17^1.26))))*'F(T,E)'!O142</f>
        <v>-11.512359438853132</v>
      </c>
      <c r="O162" s="25"/>
      <c r="P162" s="20">
        <f t="shared" si="30"/>
        <v>198192.56961776066</v>
      </c>
      <c r="Q162" s="20">
        <f t="shared" si="31"/>
        <v>11556.655055121688</v>
      </c>
      <c r="R162" s="20">
        <f t="shared" si="32"/>
        <v>540.87930764844509</v>
      </c>
      <c r="S162" s="20">
        <f t="shared" si="33"/>
        <v>62.238650138342919</v>
      </c>
      <c r="T162" s="20">
        <f t="shared" si="34"/>
        <v>8.9707108795872088</v>
      </c>
      <c r="U162" s="20">
        <f t="shared" si="35"/>
        <v>0.23476191017605844</v>
      </c>
      <c r="V162" s="20">
        <f t="shared" si="36"/>
        <v>0.69778003263307786</v>
      </c>
      <c r="W162" s="20">
        <f t="shared" si="37"/>
        <v>0.24092918686126896</v>
      </c>
      <c r="X162" s="20">
        <f t="shared" si="38"/>
        <v>833.63808977923566</v>
      </c>
      <c r="Y162" s="20">
        <f t="shared" si="39"/>
        <v>1.0005561751634279E-5</v>
      </c>
      <c r="Z162" s="25"/>
      <c r="AA162" s="20">
        <f t="shared" si="41"/>
        <v>3.2324143427501823E-3</v>
      </c>
      <c r="AB162" s="20">
        <f t="shared" si="42"/>
        <v>7.6877746340620251E-2</v>
      </c>
      <c r="AC162" s="20">
        <f t="shared" si="43"/>
        <v>11.008147006166119</v>
      </c>
      <c r="AD162" s="20">
        <f t="shared" si="44"/>
        <v>3.1481943111639071E-2</v>
      </c>
      <c r="AE162" s="20">
        <f t="shared" si="45"/>
        <v>1482.5517811330169</v>
      </c>
      <c r="AF162" s="20">
        <f t="shared" si="46"/>
        <v>1962.8510896780667</v>
      </c>
      <c r="AG162" s="20">
        <f t="shared" si="47"/>
        <v>394.9728213635093</v>
      </c>
      <c r="AH162" s="20">
        <f t="shared" si="48"/>
        <v>3.5966740628682348</v>
      </c>
      <c r="AI162" s="20">
        <f t="shared" si="49"/>
        <v>0</v>
      </c>
      <c r="AJ162" s="20">
        <v>50</v>
      </c>
      <c r="AK162" s="25"/>
      <c r="AL162" s="20">
        <f t="shared" si="50"/>
        <v>3905.0921053474226</v>
      </c>
      <c r="AM162" s="25"/>
      <c r="AN162" s="20">
        <f t="shared" si="51"/>
        <v>50666.455889735196</v>
      </c>
      <c r="AO162" s="20">
        <f t="shared" si="52"/>
        <v>225.0921053474226</v>
      </c>
      <c r="AQ162" s="20">
        <f t="shared" si="53"/>
        <v>2.9362019501953876E-5</v>
      </c>
      <c r="AR162" s="20">
        <v>514</v>
      </c>
      <c r="AS162" s="20">
        <f t="shared" si="54"/>
        <v>-0.61166332974843096</v>
      </c>
    </row>
    <row r="163" spans="2:45" x14ac:dyDescent="0.3">
      <c r="B163" s="32">
        <v>242</v>
      </c>
      <c r="C163" s="32">
        <v>3456</v>
      </c>
      <c r="D163" s="7">
        <f t="shared" si="40"/>
        <v>515</v>
      </c>
      <c r="E163" s="17">
        <f>1/$E$29-LN($E$29)+($J$16*EXP($J$16/($D$14*$J$15))/(($D$14*$J$15^2)*(1-1.05*($J$17^1.26))))*'F(T,E)'!F143</f>
        <v>207598.69508662997</v>
      </c>
      <c r="F163" s="17">
        <f>1/$F$29-LN($F$29)+($K$16*EXP($K$16/($D$14*$K$15))/(($D$14*$K$15^2)*(1-1.05*($K$17^1.26))))*'F(T,E)'!G143</f>
        <v>12267.522568342685</v>
      </c>
      <c r="G163" s="17">
        <f>1/$G$29-LN($G$29)+($L$16*EXP($L$16/($D$14*$L$15))/(($D$14*$L$15^2)*(1-1.05*($L$17^1.26))))*'F(T,E)'!H143</f>
        <v>583.21643499692971</v>
      </c>
      <c r="H163" s="17">
        <f>1/$H$29-LN($H$29)+($M$16*EXP($M$16/($D$14*$M$15))/(($D$14*$M$15^2)*(1-1.05*($M$17^1.26))))*'F(T,E)'!I143</f>
        <v>72.492064766407367</v>
      </c>
      <c r="I163" s="17">
        <f>1/$I$29-LN($I$29)+($N$16*EXP($N$16/($D$14*$N$15))/(($D$14*$N$15^2)*(1-1.05*($N$17^1.26))))*'F(T,E)'!J143</f>
        <v>12.76289401657413</v>
      </c>
      <c r="J163" s="17">
        <f>1/$J$29-LN($J$29)+($O$16*EXP($O$16/($D$14*$O$15))/(($D$14*$O$15^2)*(1-1.05*($O$17^1.26))))*'F(T,E)'!K143</f>
        <v>-1.1779343278221215</v>
      </c>
      <c r="K163" s="17">
        <f>1/$K$29-LN($K$29)+($P$16*EXP($P$16/($D$14*$P$15))/(($D$14*$P$15^2)*(1-1.05*($P$17^1.26))))*'F(T,E)'!L143</f>
        <v>0.34180663110478315</v>
      </c>
      <c r="L163" s="17">
        <f>1/$L$29-LN($L$29)+($Q$16*EXP($Q$16/($D$14*$Q$15))/(($D$14*$Q$15^2)*(1-1.05*($Q$17^1.26))))*'F(T,E)'!M143</f>
        <v>-1.1822711236238643</v>
      </c>
      <c r="M163" s="17">
        <f>1/$M$29-LN($M$29)+($R$16*EXP($R$16/($D$14*$R$15))/(($D$14*$R$15^2)*(1-1.05*($R$17^1.26))))*'F(T,E)'!N143</f>
        <v>854.30144390139571</v>
      </c>
      <c r="N163" s="17">
        <f>1/$N$29-LN($N$29)+($S$16*EXP($S$16/($D$14*$S$15))/(($D$14*$S$15^2)*(1-1.05*($S$17^1.26))))*'F(T,E)'!O143</f>
        <v>-11.512316162789865</v>
      </c>
      <c r="O163" s="25"/>
      <c r="P163" s="20">
        <f t="shared" ref="P163:P226" si="55">lmb_2(E163)</f>
        <v>207586.4517539735</v>
      </c>
      <c r="Q163" s="20">
        <f t="shared" ref="Q163:Q226" si="56">lmb_2(F163)</f>
        <v>12258.108241460053</v>
      </c>
      <c r="R163" s="20">
        <f t="shared" ref="R163:R226" si="57">lmb_2(G163)</f>
        <v>576.8588374095566</v>
      </c>
      <c r="S163" s="20">
        <f t="shared" ref="S163:S226" si="58">lmb_2(H163)</f>
        <v>68.268614627731324</v>
      </c>
      <c r="T163" s="20">
        <f t="shared" ref="T163:T226" si="59">lmb_2(I163)</f>
        <v>10.419239926612633</v>
      </c>
      <c r="U163" s="20">
        <f t="shared" ref="U163:U226" si="60">lmb_2(J163)</f>
        <v>0.24178247847742065</v>
      </c>
      <c r="V163" s="20">
        <f t="shared" ref="V163:V226" si="61">lmb_2(K163)</f>
        <v>0.69937493045686028</v>
      </c>
      <c r="W163" s="20">
        <f t="shared" ref="W163:W226" si="62">lmb_2(L163)</f>
        <v>0.24093926520895828</v>
      </c>
      <c r="X163" s="20">
        <f t="shared" ref="X163:X226" si="63">lmb_2(M163)</f>
        <v>847.55511055352008</v>
      </c>
      <c r="Y163" s="20">
        <f t="shared" ref="Y163:Y226" si="64">lmb_2(N163)</f>
        <v>1.0005994757994432E-5</v>
      </c>
      <c r="Z163" s="25"/>
      <c r="AA163" s="20">
        <f t="shared" si="41"/>
        <v>3.0747551629043716E-3</v>
      </c>
      <c r="AB163" s="20">
        <f t="shared" si="42"/>
        <v>7.2203631887348366E-2</v>
      </c>
      <c r="AC163" s="20">
        <f t="shared" si="43"/>
        <v>10.274328020906099</v>
      </c>
      <c r="AD163" s="20">
        <f t="shared" si="44"/>
        <v>2.8156044425565439E-2</v>
      </c>
      <c r="AE163" s="20">
        <f t="shared" si="45"/>
        <v>1227.3734997239719</v>
      </c>
      <c r="AF163" s="20">
        <f t="shared" si="46"/>
        <v>2044.8336353326736</v>
      </c>
      <c r="AG163" s="20">
        <f t="shared" si="47"/>
        <v>435.0674526479786</v>
      </c>
      <c r="AH163" s="20">
        <f t="shared" si="48"/>
        <v>3.9918300277031844</v>
      </c>
      <c r="AI163" s="20">
        <f t="shared" si="49"/>
        <v>0</v>
      </c>
      <c r="AJ163" s="20">
        <v>50</v>
      </c>
      <c r="AK163" s="25"/>
      <c r="AL163" s="20">
        <f t="shared" si="50"/>
        <v>3771.6441801847095</v>
      </c>
      <c r="AM163" s="25"/>
      <c r="AN163" s="20">
        <f t="shared" si="51"/>
        <v>99631.248484477372</v>
      </c>
      <c r="AO163" s="20">
        <f t="shared" si="52"/>
        <v>315.64418018470951</v>
      </c>
      <c r="AQ163" s="20">
        <f t="shared" si="53"/>
        <v>4.1174036556976944E-5</v>
      </c>
      <c r="AR163" s="20">
        <v>515</v>
      </c>
      <c r="AS163" s="20">
        <f t="shared" si="54"/>
        <v>-0.91332228062705301</v>
      </c>
    </row>
    <row r="164" spans="2:45" x14ac:dyDescent="0.3">
      <c r="B164" s="32">
        <v>244</v>
      </c>
      <c r="C164" s="32">
        <v>3334</v>
      </c>
      <c r="D164" s="7">
        <f t="shared" ref="D164:D227" si="65">B164+273</f>
        <v>517</v>
      </c>
      <c r="E164" s="17">
        <f>1/$E$29-LN($E$29)+($J$16*EXP($J$16/($D$14*$J$15))/(($D$14*$J$15^2)*(1-1.05*($J$17^1.26))))*'F(T,E)'!F144</f>
        <v>227625.53493380593</v>
      </c>
      <c r="F164" s="17">
        <f>1/$F$29-LN($F$29)+($K$16*EXP($K$16/($D$14*$K$15))/(($D$14*$K$15^2)*(1-1.05*($K$17^1.26))))*'F(T,E)'!G144</f>
        <v>13791.577609998107</v>
      </c>
      <c r="G164" s="17">
        <f>1/$G$29-LN($G$29)+($L$16*EXP($L$16/($D$14*$L$15))/(($D$14*$L$15^2)*(1-1.05*($L$17^1.26))))*'F(T,E)'!H144</f>
        <v>662.06649814100524</v>
      </c>
      <c r="H164" s="17">
        <f>1/$H$29-LN($H$29)+($M$16*EXP($M$16/($D$14*$M$15))/(($D$14*$M$15^2)*(1-1.05*($M$17^1.26))))*'F(T,E)'!I144</f>
        <v>86.134929356669048</v>
      </c>
      <c r="I164" s="17">
        <f>1/$I$29-LN($I$29)+($N$16*EXP($N$16/($D$14*$N$15))/(($D$14*$N$15^2)*(1-1.05*($N$17^1.26))))*'F(T,E)'!J144</f>
        <v>16.459342180598771</v>
      </c>
      <c r="J164" s="17">
        <f>1/$J$29-LN($J$29)+($O$16*EXP($O$16/($D$14*$O$15))/(($D$14*$O$15^2)*(1-1.05*($O$17^1.26))))*'F(T,E)'!K144</f>
        <v>-1.0961152434269801</v>
      </c>
      <c r="K164" s="17">
        <f>1/$K$29-LN($K$29)+($P$16*EXP($P$16/($D$14*$P$15))/(($D$14*$P$15^2)*(1-1.05*($P$17^1.26))))*'F(T,E)'!L144</f>
        <v>0.35082304957553373</v>
      </c>
      <c r="L164" s="17">
        <f>1/$L$29-LN($L$29)+($Q$16*EXP($Q$16/($D$14*$Q$15))/(($D$14*$Q$15^2)*(1-1.05*($Q$17^1.26))))*'F(T,E)'!M144</f>
        <v>-1.1821496268046832</v>
      </c>
      <c r="M164" s="17">
        <f>1/$M$29-LN($M$29)+($R$16*EXP($R$16/($D$14*$R$15))/(($D$14*$R$15^2)*(1-1.05*($R$17^1.26))))*'F(T,E)'!N144</f>
        <v>882.69741905217393</v>
      </c>
      <c r="N164" s="17">
        <f>1/$N$29-LN($N$29)+($S$16*EXP($S$16/($D$14*$S$15))/(($D$14*$S$15^2)*(1-1.05*($S$17^1.26))))*'F(T,E)'!O144</f>
        <v>-11.512219641887492</v>
      </c>
      <c r="O164" s="25"/>
      <c r="P164" s="20">
        <f t="shared" si="55"/>
        <v>227613.1995037348</v>
      </c>
      <c r="Q164" s="20">
        <f t="shared" si="56"/>
        <v>13782.04614219786</v>
      </c>
      <c r="R164" s="20">
        <f t="shared" si="57"/>
        <v>655.58097631177475</v>
      </c>
      <c r="S164" s="20">
        <f t="shared" si="58"/>
        <v>81.73148999461327</v>
      </c>
      <c r="T164" s="20">
        <f t="shared" si="59"/>
        <v>13.832333333768389</v>
      </c>
      <c r="U164" s="20">
        <f t="shared" si="60"/>
        <v>0.25813958188218566</v>
      </c>
      <c r="V164" s="20">
        <f t="shared" si="61"/>
        <v>0.70309141278681309</v>
      </c>
      <c r="W164" s="20">
        <f t="shared" si="62"/>
        <v>0.24096285581485985</v>
      </c>
      <c r="X164" s="20">
        <f t="shared" si="63"/>
        <v>875.91827877411868</v>
      </c>
      <c r="Y164" s="20">
        <f t="shared" si="64"/>
        <v>1.0006960582583488E-5</v>
      </c>
      <c r="Z164" s="25"/>
      <c r="AA164" s="20">
        <f t="shared" ref="AA164:AA227" si="66">($J$14*$D$13*($P$32+$P$32^2)/(P164+P164^2)*EXP($J$16*(D164-$J$15)/($D$14*$J$15*D164)))</f>
        <v>2.7836360272398284E-3</v>
      </c>
      <c r="AB164" s="20">
        <f t="shared" ref="AB164:AB227" si="67">($K$14*$D$13*($Q$32+$Q$32^2)/(Q164+Q164^2)*EXP($K$16*(D164-$K$15)/($D$14*$K$15*D164)))</f>
        <v>6.3735639770565386E-2</v>
      </c>
      <c r="AC164" s="20">
        <f t="shared" ref="AC164:AC227" si="68">($L$14*$D$13*($R$32+$R$32^2)/(R164+R164^2)*EXP($L$16*(D164-$L$15)/($D$14*$L$15*D164)))</f>
        <v>8.9595121417814916</v>
      </c>
      <c r="AD164" s="20">
        <f t="shared" ref="AD164:AD227" si="69">($M$14*$D$13*($S$32+$S$32^2)/(S164+S164^2)*EXP($M$16*(D164-$M$15)/($D$14*$M$15*D164)))</f>
        <v>2.2717288204162252E-2</v>
      </c>
      <c r="AE164" s="20">
        <f t="shared" ref="AE164:AE227" si="70">($N$14*$D$13*($T$32+$T$32^2)/(T164+T164^2)*EXP($N$16*(D164-$N$15)/($D$14*$N$15*D164)))</f>
        <v>862.24996997914423</v>
      </c>
      <c r="AF164" s="20">
        <f t="shared" ref="AF164:AF227" si="71">($O$14*$D$13*($U$32+$U$32^2)/(U164+U164^2)*EXP($O$16*(D164-$O$15)/($D$14*$O$15*D164)))</f>
        <v>2198.9827321543871</v>
      </c>
      <c r="AG164" s="20">
        <f t="shared" ref="AG164:AG227" si="72">($P$14*$D$13*($V$32+$V$32^2)/(V164+V164^2)*EXP($P$16*(D164-$P$15)/($D$14*$P$15*D164)))</f>
        <v>526.7201691951326</v>
      </c>
      <c r="AH164" s="20">
        <f t="shared" ref="AH164:AH227" si="73">($Q$14*$D$13*($W$32+$W$32^2)/(W164+W164^2)*EXP($Q$16*(D164-$Q$15)/($D$14*$Q$15*D164)))</f>
        <v>4.9111243153496318</v>
      </c>
      <c r="AI164" s="20">
        <f t="shared" ref="AI164:AI227" si="74">($R$14*$D$13*($X$32+$X$32^2)/(X164+X164^2)*EXP($R$16*(D164-$R$15)/($D$14*$R$15*D164)))</f>
        <v>0</v>
      </c>
      <c r="AJ164" s="20">
        <v>50</v>
      </c>
      <c r="AK164" s="25"/>
      <c r="AL164" s="20">
        <f t="shared" ref="AL164:AL227" si="75">SUM(AA164:AJ164)</f>
        <v>3651.9127443497973</v>
      </c>
      <c r="AM164" s="25"/>
      <c r="AN164" s="20">
        <f t="shared" ref="AN164:AN227" si="76">(AL164-C164)^2</f>
        <v>101068.51302001959</v>
      </c>
      <c r="AO164" s="20">
        <f t="shared" ref="AO164:AO227" si="77">ABS(AL164-C164)</f>
        <v>317.91274434979732</v>
      </c>
      <c r="AQ164" s="20">
        <f t="shared" ref="AQ164:AQ227" si="78">AO164/$AP$35</f>
        <v>4.1469958198270992E-5</v>
      </c>
      <c r="AR164" s="20">
        <v>517</v>
      </c>
      <c r="AS164" s="20">
        <f t="shared" ref="AS164:AS227" si="79">(C164-AL164)/C164*10</f>
        <v>-0.95354752354468308</v>
      </c>
    </row>
    <row r="165" spans="2:45" x14ac:dyDescent="0.3">
      <c r="B165" s="32">
        <v>245</v>
      </c>
      <c r="C165" s="32">
        <v>3218</v>
      </c>
      <c r="D165" s="7">
        <f t="shared" si="65"/>
        <v>518</v>
      </c>
      <c r="E165" s="17">
        <f>1/$E$29-LN($E$29)+($J$16*EXP($J$16/($D$14*$J$15))/(($D$14*$J$15^2)*(1-1.05*($J$17^1.26))))*'F(T,E)'!F145</f>
        <v>238291.01717199653</v>
      </c>
      <c r="F165" s="17">
        <f>1/$F$29-LN($F$29)+($K$16*EXP($K$16/($D$14*$K$15))/(($D$14*$K$15^2)*(1-1.05*($K$17^1.26))))*'F(T,E)'!G145</f>
        <v>14618.369003095169</v>
      </c>
      <c r="G165" s="17">
        <f>1/$G$29-LN($G$29)+($L$16*EXP($L$16/($D$14*$L$15))/(($D$14*$L$15^2)*(1-1.05*($L$17^1.26))))*'F(T,E)'!H145</f>
        <v>705.13204733649025</v>
      </c>
      <c r="H165" s="17">
        <f>1/$H$29-LN($H$29)+($M$16*EXP($M$16/($D$14*$M$15))/(($D$14*$M$15^2)*(1-1.05*($M$17^1.26))))*'F(T,E)'!I145</f>
        <v>93.721258932113415</v>
      </c>
      <c r="I165" s="17">
        <f>1/$I$29-LN($I$29)+($N$16*EXP($N$16/($D$14*$N$15))/(($D$14*$N$15^2)*(1-1.05*($N$17^1.26))))*'F(T,E)'!J145</f>
        <v>18.590191312537733</v>
      </c>
      <c r="J165" s="17">
        <f>1/$J$29-LN($J$29)+($O$16*EXP($O$16/($D$14*$O$15))/(($D$14*$O$15^2)*(1-1.05*($O$17^1.26))))*'F(T,E)'!K145</f>
        <v>-1.0503396546428396</v>
      </c>
      <c r="K165" s="17">
        <f>1/$K$29-LN($K$29)+($P$16*EXP($P$16/($D$14*$P$15))/(($D$14*$P$15^2)*(1-1.05*($P$17^1.26))))*'F(T,E)'!L145</f>
        <v>0.35604700583117899</v>
      </c>
      <c r="L165" s="17">
        <f>1/$L$29-LN($L$29)+($Q$16*EXP($Q$16/($D$14*$Q$15))/(($D$14*$Q$15^2)*(1-1.05*($Q$17^1.26))))*'F(T,E)'!M145</f>
        <v>-1.1820787809039741</v>
      </c>
      <c r="M165" s="17">
        <f>1/$M$29-LN($M$29)+($R$16*EXP($R$16/($D$14*$R$15))/(($D$14*$R$15^2)*(1-1.05*($R$17^1.26))))*'F(T,E)'!N145</f>
        <v>897.16281983476756</v>
      </c>
      <c r="N165" s="17">
        <f>1/$N$29-LN($N$29)+($S$16*EXP($S$16/($D$14*$S$15))/(($D$14*$S$15^2)*(1-1.05*($S$17^1.26))))*'F(T,E)'!O145</f>
        <v>-11.512165922784991</v>
      </c>
      <c r="O165" s="25"/>
      <c r="P165" s="20">
        <f t="shared" si="55"/>
        <v>238278.63595000887</v>
      </c>
      <c r="Q165" s="20">
        <f t="shared" si="56"/>
        <v>14608.779296940522</v>
      </c>
      <c r="R165" s="20">
        <f t="shared" si="57"/>
        <v>698.57831271593307</v>
      </c>
      <c r="S165" s="20">
        <f t="shared" si="58"/>
        <v>89.230041164867075</v>
      </c>
      <c r="T165" s="20">
        <f t="shared" si="59"/>
        <v>15.828386378252809</v>
      </c>
      <c r="U165" s="20">
        <f t="shared" si="60"/>
        <v>0.26766804597853266</v>
      </c>
      <c r="V165" s="20">
        <f t="shared" si="61"/>
        <v>0.70524997308912862</v>
      </c>
      <c r="W165" s="20">
        <f t="shared" si="62"/>
        <v>0.24097661257087766</v>
      </c>
      <c r="X165" s="20">
        <f t="shared" si="63"/>
        <v>890.36737177276257</v>
      </c>
      <c r="Y165" s="20">
        <f t="shared" si="64"/>
        <v>1.0007498156583993E-5</v>
      </c>
      <c r="Z165" s="25"/>
      <c r="AA165" s="20">
        <f t="shared" si="66"/>
        <v>2.6492927542837112E-3</v>
      </c>
      <c r="AB165" s="20">
        <f t="shared" si="67"/>
        <v>5.9902614856685327E-2</v>
      </c>
      <c r="AC165" s="20">
        <f t="shared" si="68"/>
        <v>8.3709627095240666</v>
      </c>
      <c r="AD165" s="20">
        <f t="shared" si="69"/>
        <v>2.0484174628417024E-2</v>
      </c>
      <c r="AE165" s="20">
        <f t="shared" si="70"/>
        <v>730.57007222004006</v>
      </c>
      <c r="AF165" s="20">
        <f t="shared" si="71"/>
        <v>2269.0885700652666</v>
      </c>
      <c r="AG165" s="20">
        <f t="shared" si="72"/>
        <v>578.87615915964159</v>
      </c>
      <c r="AH165" s="20">
        <f t="shared" si="73"/>
        <v>5.4440281307289364</v>
      </c>
      <c r="AI165" s="20">
        <f t="shared" si="74"/>
        <v>0</v>
      </c>
      <c r="AJ165" s="20">
        <v>50</v>
      </c>
      <c r="AK165" s="25"/>
      <c r="AL165" s="20">
        <f t="shared" si="75"/>
        <v>3642.4328283674408</v>
      </c>
      <c r="AM165" s="25"/>
      <c r="AN165" s="20">
        <f t="shared" si="76"/>
        <v>180143.22579598549</v>
      </c>
      <c r="AO165" s="20">
        <f t="shared" si="77"/>
        <v>424.43282836744083</v>
      </c>
      <c r="AQ165" s="20">
        <f t="shared" si="78"/>
        <v>5.5364913685263273E-5</v>
      </c>
      <c r="AR165" s="20">
        <v>518</v>
      </c>
      <c r="AS165" s="20">
        <f t="shared" si="79"/>
        <v>-1.3189335872201393</v>
      </c>
    </row>
    <row r="166" spans="2:45" x14ac:dyDescent="0.3">
      <c r="B166" s="32">
        <v>247</v>
      </c>
      <c r="C166" s="32">
        <v>3196</v>
      </c>
      <c r="D166" s="7">
        <f t="shared" si="65"/>
        <v>520</v>
      </c>
      <c r="E166" s="17">
        <f>1/$E$29-LN($E$29)+($J$16*EXP($J$16/($D$14*$J$15))/(($D$14*$J$15^2)*(1-1.05*($J$17^1.26))))*'F(T,E)'!F146</f>
        <v>261011.83117274905</v>
      </c>
      <c r="F166" s="17">
        <f>1/$F$29-LN($F$29)+($K$16*EXP($K$16/($D$14*$K$15))/(($D$14*$K$15^2)*(1-1.05*($K$17^1.26))))*'F(T,E)'!G146</f>
        <v>16412.873243132402</v>
      </c>
      <c r="G166" s="17">
        <f>1/$G$29-LN($G$29)+($L$16*EXP($L$16/($D$14*$L$15))/(($D$14*$L$15^2)*(1-1.05*($L$17^1.26))))*'F(T,E)'!H146</f>
        <v>799.24469429373687</v>
      </c>
      <c r="H166" s="17">
        <f>1/$H$29-LN($H$29)+($M$16*EXP($M$16/($D$14*$M$15))/(($D$14*$M$15^2)*(1-1.05*($M$17^1.26))))*'F(T,E)'!I146</f>
        <v>110.60495794483344</v>
      </c>
      <c r="I166" s="17">
        <f>1/$I$29-LN($I$29)+($N$16*EXP($N$16/($D$14*$N$15))/(($D$14*$N$15^2)*(1-1.05*($N$17^1.26))))*'F(T,E)'!J146</f>
        <v>23.51021254904196</v>
      </c>
      <c r="J166" s="17">
        <f>1/$J$29-LN($J$29)+($O$16*EXP($O$16/($D$14*$O$15))/(($D$14*$O$15^2)*(1-1.05*($O$17^1.26))))*'F(T,E)'!K146</f>
        <v>-0.94782852747511903</v>
      </c>
      <c r="K166" s="17">
        <f>1/$K$29-LN($K$29)+($P$16*EXP($P$16/($D$14*$P$15))/(($D$14*$P$15^2)*(1-1.05*($P$17^1.26))))*'F(T,E)'!L146</f>
        <v>0.36817164507828087</v>
      </c>
      <c r="L166" s="17">
        <f>1/$L$29-LN($L$29)+($Q$16*EXP($Q$16/($D$14*$Q$15))/(($D$14*$Q$15^2)*(1-1.05*($Q$17^1.26))))*'F(T,E)'!M146</f>
        <v>-1.1819132629629399</v>
      </c>
      <c r="M166" s="17">
        <f>1/$M$29-LN($M$29)+($R$16*EXP($R$16/($D$14*$R$15))/(($D$14*$R$15^2)*(1-1.05*($R$17^1.26))))*'F(T,E)'!N146</f>
        <v>926.63584392402379</v>
      </c>
      <c r="N166" s="17">
        <f>1/$N$29-LN($N$29)+($S$16*EXP($S$16/($D$14*$S$15))/(($D$14*$S$15^2)*(1-1.05*($S$17^1.26))))*'F(T,E)'!O146</f>
        <v>-11.512046261806722</v>
      </c>
      <c r="O166" s="25"/>
      <c r="P166" s="20">
        <f t="shared" si="55"/>
        <v>260999.35887562585</v>
      </c>
      <c r="Q166" s="20">
        <f t="shared" si="56"/>
        <v>16403.167717549746</v>
      </c>
      <c r="R166" s="20">
        <f t="shared" si="57"/>
        <v>792.5652083837864</v>
      </c>
      <c r="S166" s="20">
        <f t="shared" si="58"/>
        <v>105.94206555153565</v>
      </c>
      <c r="T166" s="20">
        <f t="shared" si="59"/>
        <v>20.490262762914636</v>
      </c>
      <c r="U166" s="20">
        <f t="shared" si="60"/>
        <v>0.29001030267882877</v>
      </c>
      <c r="V166" s="20">
        <f t="shared" si="61"/>
        <v>0.71027487751676788</v>
      </c>
      <c r="W166" s="20">
        <f t="shared" si="62"/>
        <v>0.2410087550752639</v>
      </c>
      <c r="X166" s="20">
        <f t="shared" si="63"/>
        <v>919.80796948500256</v>
      </c>
      <c r="Y166" s="20">
        <f t="shared" si="64"/>
        <v>1.0008695723267645E-5</v>
      </c>
      <c r="Z166" s="25"/>
      <c r="AA166" s="20">
        <f t="shared" si="66"/>
        <v>2.4010204089474096E-3</v>
      </c>
      <c r="AB166" s="20">
        <f t="shared" si="67"/>
        <v>5.2950811760349673E-2</v>
      </c>
      <c r="AC166" s="20">
        <f t="shared" si="68"/>
        <v>7.3142399148594857</v>
      </c>
      <c r="AD166" s="20">
        <f t="shared" si="69"/>
        <v>1.6766234186151217E-2</v>
      </c>
      <c r="AE166" s="20">
        <f t="shared" si="70"/>
        <v>534.17035812834081</v>
      </c>
      <c r="AF166" s="20">
        <f t="shared" si="71"/>
        <v>2389.8285739411053</v>
      </c>
      <c r="AG166" s="20">
        <f t="shared" si="72"/>
        <v>697.43502743297915</v>
      </c>
      <c r="AH166" s="20">
        <f t="shared" si="73"/>
        <v>6.6814804802197179</v>
      </c>
      <c r="AI166" s="20">
        <f t="shared" si="74"/>
        <v>0</v>
      </c>
      <c r="AJ166" s="20">
        <v>50</v>
      </c>
      <c r="AK166" s="25"/>
      <c r="AL166" s="20">
        <f t="shared" si="75"/>
        <v>3685.5017979638596</v>
      </c>
      <c r="AM166" s="25"/>
      <c r="AN166" s="20">
        <f t="shared" si="76"/>
        <v>239612.01020985126</v>
      </c>
      <c r="AO166" s="20">
        <f t="shared" si="77"/>
        <v>489.50179796385964</v>
      </c>
      <c r="AQ166" s="20">
        <f t="shared" si="78"/>
        <v>6.3852800682957881E-5</v>
      </c>
      <c r="AR166" s="20">
        <v>520</v>
      </c>
      <c r="AS166" s="20">
        <f t="shared" si="79"/>
        <v>-1.5316076281722768</v>
      </c>
    </row>
    <row r="167" spans="2:45" x14ac:dyDescent="0.3">
      <c r="B167" s="32">
        <v>248</v>
      </c>
      <c r="C167" s="32">
        <v>3224</v>
      </c>
      <c r="D167" s="7">
        <f t="shared" si="65"/>
        <v>521</v>
      </c>
      <c r="E167" s="17">
        <f>1/$E$29-LN($E$29)+($J$16*EXP($J$16/($D$14*$J$15))/(($D$14*$J$15^2)*(1-1.05*($J$17^1.26))))*'F(T,E)'!F147</f>
        <v>273103.2452291192</v>
      </c>
      <c r="F167" s="17">
        <f>1/$F$29-LN($F$29)+($K$16*EXP($K$16/($D$14*$K$15))/(($D$14*$K$15^2)*(1-1.05*($K$17^1.26))))*'F(T,E)'!G147</f>
        <v>17385.471496506179</v>
      </c>
      <c r="G167" s="17">
        <f>1/$G$29-LN($G$29)+($L$16*EXP($L$16/($D$14*$L$15))/(($D$14*$L$15^2)*(1-1.05*($L$17^1.26))))*'F(T,E)'!H147</f>
        <v>850.59419733463596</v>
      </c>
      <c r="H167" s="17">
        <f>1/$H$29-LN($H$29)+($M$16*EXP($M$16/($D$14*$M$15))/(($D$14*$M$15^2)*(1-1.05*($M$17^1.26))))*'F(T,E)'!I147</f>
        <v>119.98198888343441</v>
      </c>
      <c r="I167" s="17">
        <f>1/$I$29-LN($I$29)+($N$16*EXP($N$16/($D$14*$N$15))/(($D$14*$N$15^2)*(1-1.05*($N$17^1.26))))*'F(T,E)'!J147</f>
        <v>26.341795027461355</v>
      </c>
      <c r="J167" s="17">
        <f>1/$J$29-LN($J$29)+($O$16*EXP($O$16/($D$14*$O$15))/(($D$14*$O$15^2)*(1-1.05*($O$17^1.26))))*'F(T,E)'!K147</f>
        <v>-0.89055000629158265</v>
      </c>
      <c r="K167" s="17">
        <f>1/$K$29-LN($K$29)+($P$16*EXP($P$16/($D$14*$P$15))/(($D$14*$P$15^2)*(1-1.05*($P$17^1.26))))*'F(T,E)'!L147</f>
        <v>0.37518464091668086</v>
      </c>
      <c r="L167" s="17">
        <f>1/$L$29-LN($L$29)+($Q$16*EXP($Q$16/($D$14*$Q$15))/(($D$14*$Q$15^2)*(1-1.05*($Q$17^1.26))))*'F(T,E)'!M147</f>
        <v>-1.1818169171866857</v>
      </c>
      <c r="M167" s="17">
        <f>1/$M$29-LN($M$29)+($R$16*EXP($R$16/($D$14*$R$15))/(($D$14*$R$15^2)*(1-1.05*($R$17^1.26))))*'F(T,E)'!N147</f>
        <v>941.64643743915462</v>
      </c>
      <c r="N167" s="17">
        <f>1/$N$29-LN($N$29)+($S$16*EXP($S$16/($D$14*$S$15))/(($D$14*$S$15^2)*(1-1.05*($S$17^1.26))))*'F(T,E)'!O147</f>
        <v>-11.511979745641842</v>
      </c>
      <c r="O167" s="25"/>
      <c r="P167" s="20">
        <f t="shared" si="55"/>
        <v>273090.72764684621</v>
      </c>
      <c r="Q167" s="20">
        <f t="shared" si="56"/>
        <v>17375.708387132865</v>
      </c>
      <c r="R167" s="20">
        <f t="shared" si="57"/>
        <v>843.85222759878991</v>
      </c>
      <c r="S167" s="20">
        <f t="shared" si="58"/>
        <v>115.23501522970977</v>
      </c>
      <c r="T167" s="20">
        <f t="shared" si="59"/>
        <v>23.197740160412231</v>
      </c>
      <c r="U167" s="20">
        <f t="shared" si="60"/>
        <v>0.3031098829436738</v>
      </c>
      <c r="V167" s="20">
        <f t="shared" si="61"/>
        <v>0.71319085561704187</v>
      </c>
      <c r="W167" s="20">
        <f t="shared" si="62"/>
        <v>0.24102746638717748</v>
      </c>
      <c r="X167" s="20">
        <f t="shared" si="63"/>
        <v>934.8024435546148</v>
      </c>
      <c r="Y167" s="20">
        <f t="shared" si="64"/>
        <v>1.0009361478800548E-5</v>
      </c>
      <c r="Z167" s="25"/>
      <c r="AA167" s="20">
        <f t="shared" si="66"/>
        <v>2.2863534966847702E-3</v>
      </c>
      <c r="AB167" s="20">
        <f t="shared" si="67"/>
        <v>4.9800608001077218E-2</v>
      </c>
      <c r="AC167" s="20">
        <f t="shared" si="68"/>
        <v>6.84026524447928</v>
      </c>
      <c r="AD167" s="20">
        <f t="shared" si="69"/>
        <v>1.5213891139325661E-2</v>
      </c>
      <c r="AE167" s="20">
        <f t="shared" si="70"/>
        <v>460.44264732085509</v>
      </c>
      <c r="AF167" s="20">
        <f t="shared" si="71"/>
        <v>2438.1769858997263</v>
      </c>
      <c r="AG167" s="20">
        <f t="shared" si="72"/>
        <v>764.50222199881364</v>
      </c>
      <c r="AH167" s="20">
        <f t="shared" si="73"/>
        <v>7.3975327714964862</v>
      </c>
      <c r="AI167" s="20">
        <f t="shared" si="74"/>
        <v>0</v>
      </c>
      <c r="AJ167" s="20">
        <v>50</v>
      </c>
      <c r="AK167" s="25"/>
      <c r="AL167" s="20">
        <f t="shared" si="75"/>
        <v>3727.4269540880082</v>
      </c>
      <c r="AM167" s="25"/>
      <c r="AN167" s="20">
        <f t="shared" si="76"/>
        <v>253438.69810232951</v>
      </c>
      <c r="AO167" s="20">
        <f t="shared" si="77"/>
        <v>503.42695408800819</v>
      </c>
      <c r="AQ167" s="20">
        <f t="shared" si="78"/>
        <v>6.5669260238720273E-5</v>
      </c>
      <c r="AR167" s="20">
        <v>521</v>
      </c>
      <c r="AS167" s="20">
        <f t="shared" si="79"/>
        <v>-1.5614979965508937</v>
      </c>
    </row>
    <row r="168" spans="2:45" x14ac:dyDescent="0.3">
      <c r="B168" s="32">
        <v>250</v>
      </c>
      <c r="C168" s="32">
        <v>3268</v>
      </c>
      <c r="D168" s="7">
        <f t="shared" si="65"/>
        <v>523</v>
      </c>
      <c r="E168" s="17">
        <f>1/$E$29-LN($E$29)+($J$16*EXP($J$16/($D$14*$J$15))/(($D$14*$J$15^2)*(1-1.05*($J$17^1.26))))*'F(T,E)'!F148</f>
        <v>298842.99119136133</v>
      </c>
      <c r="F168" s="17">
        <f>1/$F$29-LN($F$29)+($K$16*EXP($K$16/($D$14*$K$15))/(($D$14*$K$15^2)*(1-1.05*($K$17^1.26))))*'F(T,E)'!G148</f>
        <v>19494.450691094738</v>
      </c>
      <c r="G168" s="17">
        <f>1/$G$29-LN($G$29)+($L$16*EXP($L$16/($D$14*$L$15))/(($D$14*$L$15^2)*(1-1.05*($L$17^1.26))))*'F(T,E)'!H148</f>
        <v>962.6953747752317</v>
      </c>
      <c r="H168" s="17">
        <f>1/$H$29-LN($H$29)+($M$16*EXP($M$16/($D$14*$M$15))/(($D$14*$M$15^2)*(1-1.05*($M$17^1.26))))*'F(T,E)'!I148</f>
        <v>140.82523964672703</v>
      </c>
      <c r="I168" s="17">
        <f>1/$I$29-LN($I$29)+($N$16*EXP($N$16/($D$14*$N$15))/(($D$14*$N$15^2)*(1-1.05*($N$17^1.26))))*'F(T,E)'!J148</f>
        <v>32.868920914873179</v>
      </c>
      <c r="J168" s="17">
        <f>1/$J$29-LN($J$29)+($O$16*EXP($O$16/($D$14*$O$15))/(($D$14*$O$15^2)*(1-1.05*($O$17^1.26))))*'F(T,E)'!K148</f>
        <v>-0.76244628783315838</v>
      </c>
      <c r="K168" s="17">
        <f>1/$K$29-LN($K$29)+($P$16*EXP($P$16/($D$14*$P$15))/(($D$14*$P$15^2)*(1-1.05*($P$17^1.26))))*'F(T,E)'!L148</f>
        <v>0.39143358342614837</v>
      </c>
      <c r="L168" s="17">
        <f>1/$L$29-LN($L$29)+($Q$16*EXP($Q$16/($D$14*$Q$15))/(($D$14*$Q$15^2)*(1-1.05*($Q$17^1.26))))*'F(T,E)'!M148</f>
        <v>-1.18159222813832</v>
      </c>
      <c r="M168" s="17">
        <f>1/$M$29-LN($M$29)+($R$16*EXP($R$16/($D$14*$R$15))/(($D$14*$R$15^2)*(1-1.05*($R$17^1.26))))*'F(T,E)'!N148</f>
        <v>972.22324164731481</v>
      </c>
      <c r="N168" s="17">
        <f>1/$N$29-LN($N$29)+($S$16*EXP($S$16/($D$14*$S$15))/(($D$14*$S$15^2)*(1-1.05*($S$17^1.26))))*'F(T,E)'!O148</f>
        <v>-11.511831763021847</v>
      </c>
      <c r="O168" s="25"/>
      <c r="P168" s="20">
        <f t="shared" si="55"/>
        <v>298830.38353885408</v>
      </c>
      <c r="Q168" s="20">
        <f t="shared" si="56"/>
        <v>19484.573059321836</v>
      </c>
      <c r="R168" s="20">
        <f t="shared" si="57"/>
        <v>955.82920571320074</v>
      </c>
      <c r="S168" s="20">
        <f t="shared" si="58"/>
        <v>135.9132230305932</v>
      </c>
      <c r="T168" s="20">
        <f t="shared" si="59"/>
        <v>29.485037967725248</v>
      </c>
      <c r="U168" s="20">
        <f t="shared" si="60"/>
        <v>0.33404206449636709</v>
      </c>
      <c r="V168" s="20">
        <f t="shared" si="61"/>
        <v>0.7199739004417155</v>
      </c>
      <c r="W168" s="20">
        <f t="shared" si="62"/>
        <v>0.24107110779237362</v>
      </c>
      <c r="X168" s="20">
        <f t="shared" si="63"/>
        <v>965.34719426555603</v>
      </c>
      <c r="Y168" s="20">
        <f t="shared" si="64"/>
        <v>1.0010842785109717E-5</v>
      </c>
      <c r="Z168" s="25"/>
      <c r="AA168" s="20">
        <f t="shared" si="66"/>
        <v>2.0742707103902662E-3</v>
      </c>
      <c r="AB168" s="20">
        <f t="shared" si="67"/>
        <v>4.4081109732939862E-2</v>
      </c>
      <c r="AC168" s="20">
        <f t="shared" si="68"/>
        <v>5.9879931233283212</v>
      </c>
      <c r="AD168" s="20">
        <f t="shared" si="69"/>
        <v>1.2592821702619189E-2</v>
      </c>
      <c r="AE168" s="20">
        <f t="shared" si="70"/>
        <v>346.81035686123914</v>
      </c>
      <c r="AF168" s="20">
        <f t="shared" si="71"/>
        <v>2505.2521963240233</v>
      </c>
      <c r="AG168" s="20">
        <f t="shared" si="72"/>
        <v>915.91164117170433</v>
      </c>
      <c r="AH168" s="20">
        <f t="shared" si="73"/>
        <v>9.057205355162905</v>
      </c>
      <c r="AI168" s="20">
        <f t="shared" si="74"/>
        <v>0</v>
      </c>
      <c r="AJ168" s="20">
        <v>50</v>
      </c>
      <c r="AK168" s="25"/>
      <c r="AL168" s="20">
        <f t="shared" si="75"/>
        <v>3833.0781410376035</v>
      </c>
      <c r="AM168" s="25"/>
      <c r="AN168" s="20">
        <f t="shared" si="76"/>
        <v>319313.30547851371</v>
      </c>
      <c r="AO168" s="20">
        <f t="shared" si="77"/>
        <v>565.07814103760347</v>
      </c>
      <c r="AQ168" s="20">
        <f t="shared" si="78"/>
        <v>7.3711316403856009E-5</v>
      </c>
      <c r="AR168" s="20">
        <v>523</v>
      </c>
      <c r="AS168" s="20">
        <f t="shared" si="79"/>
        <v>-1.7291252785728382</v>
      </c>
    </row>
    <row r="169" spans="2:45" x14ac:dyDescent="0.3">
      <c r="B169" s="32">
        <v>251</v>
      </c>
      <c r="C169" s="32">
        <v>3376</v>
      </c>
      <c r="D169" s="7">
        <f t="shared" si="65"/>
        <v>524</v>
      </c>
      <c r="E169" s="17">
        <f>1/$E$29-LN($E$29)+($J$16*EXP($J$16/($D$14*$J$15))/(($D$14*$J$15^2)*(1-1.05*($J$17^1.26))))*'F(T,E)'!F149</f>
        <v>312531.24267456232</v>
      </c>
      <c r="F169" s="17">
        <f>1/$F$29-LN($F$29)+($K$16*EXP($K$16/($D$14*$K$15))/(($D$14*$K$15^2)*(1-1.05*($K$17^1.26))))*'F(T,E)'!G149</f>
        <v>20636.439702392141</v>
      </c>
      <c r="G169" s="17">
        <f>1/$G$29-LN($G$29)+($L$16*EXP($L$16/($D$14*$L$15))/(($D$14*$L$15^2)*(1-1.05*($L$17^1.26))))*'F(T,E)'!H149</f>
        <v>1023.7988963552439</v>
      </c>
      <c r="H169" s="17">
        <f>1/$H$29-LN($H$29)+($M$16*EXP($M$16/($D$14*$M$15))/(($D$14*$M$15^2)*(1-1.05*($M$17^1.26))))*'F(T,E)'!I149</f>
        <v>152.38752837792893</v>
      </c>
      <c r="I169" s="17">
        <f>1/$I$29-LN($I$29)+($N$16*EXP($N$16/($D$14*$N$15))/(($D$14*$N$15^2)*(1-1.05*($N$17^1.26))))*'F(T,E)'!J149</f>
        <v>36.619431313098247</v>
      </c>
      <c r="J169" s="17">
        <f>1/$J$29-LN($J$29)+($O$16*EXP($O$16/($D$14*$O$15))/(($D$14*$O$15^2)*(1-1.05*($O$17^1.26))))*'F(T,E)'!K149</f>
        <v>-0.69095823035363424</v>
      </c>
      <c r="K169" s="17">
        <f>1/$K$29-LN($K$29)+($P$16*EXP($P$16/($D$14*$P$15))/(($D$14*$P$15^2)*(1-1.05*($P$17^1.26))))*'F(T,E)'!L149</f>
        <v>0.4008165797883409</v>
      </c>
      <c r="L169" s="17">
        <f>1/$L$29-LN($L$29)+($Q$16*EXP($Q$16/($D$14*$Q$15))/(($D$14*$Q$15^2)*(1-1.05*($Q$17^1.26))))*'F(T,E)'!M149</f>
        <v>-1.1814616651050045</v>
      </c>
      <c r="M169" s="17">
        <f>1/$M$29-LN($M$29)+($R$16*EXP($R$16/($D$14*$R$15))/(($D$14*$R$15^2)*(1-1.05*($R$17^1.26))))*'F(T,E)'!N149</f>
        <v>987.79244527616595</v>
      </c>
      <c r="N169" s="17">
        <f>1/$N$29-LN($N$29)+($S$16*EXP($S$16/($D$14*$S$15))/(($D$14*$S$15^2)*(1-1.05*($S$17^1.26))))*'F(T,E)'!O149</f>
        <v>-11.511749602779078</v>
      </c>
      <c r="O169" s="25"/>
      <c r="P169" s="20">
        <f t="shared" si="55"/>
        <v>312518.59023508453</v>
      </c>
      <c r="Q169" s="20">
        <f t="shared" si="56"/>
        <v>20626.505129392921</v>
      </c>
      <c r="R169" s="20">
        <f t="shared" si="57"/>
        <v>1016.8710060358202</v>
      </c>
      <c r="S169" s="20">
        <f t="shared" si="58"/>
        <v>147.39441628030031</v>
      </c>
      <c r="T169" s="20">
        <f t="shared" si="59"/>
        <v>33.11931467594664</v>
      </c>
      <c r="U169" s="20">
        <f t="shared" si="60"/>
        <v>0.35230363771558565</v>
      </c>
      <c r="V169" s="20">
        <f t="shared" si="61"/>
        <v>0.72390780947366895</v>
      </c>
      <c r="W169" s="20">
        <f t="shared" si="62"/>
        <v>0.24109647000483655</v>
      </c>
      <c r="X169" s="20">
        <f t="shared" si="63"/>
        <v>980.90046302099461</v>
      </c>
      <c r="Y169" s="20">
        <f t="shared" si="64"/>
        <v>1.0011665303937529E-5</v>
      </c>
      <c r="Z169" s="25"/>
      <c r="AA169" s="20">
        <f t="shared" si="66"/>
        <v>1.9762374074619327E-3</v>
      </c>
      <c r="AB169" s="20">
        <f t="shared" si="67"/>
        <v>4.1486524884197525E-2</v>
      </c>
      <c r="AC169" s="20">
        <f t="shared" si="68"/>
        <v>5.6050714847392733</v>
      </c>
      <c r="AD169" s="20">
        <f t="shared" si="69"/>
        <v>1.1483971527277623E-2</v>
      </c>
      <c r="AE169" s="20">
        <f t="shared" si="70"/>
        <v>302.80155986324593</v>
      </c>
      <c r="AF169" s="20">
        <f t="shared" si="71"/>
        <v>2521.9412609183178</v>
      </c>
      <c r="AG169" s="20">
        <f t="shared" si="72"/>
        <v>1000.9318972802633</v>
      </c>
      <c r="AH169" s="20">
        <f t="shared" si="73"/>
        <v>10.015862366223866</v>
      </c>
      <c r="AI169" s="20">
        <f t="shared" si="74"/>
        <v>0</v>
      </c>
      <c r="AJ169" s="20">
        <v>50</v>
      </c>
      <c r="AK169" s="25"/>
      <c r="AL169" s="20">
        <f t="shared" si="75"/>
        <v>3891.3505986466089</v>
      </c>
      <c r="AM169" s="25"/>
      <c r="AN169" s="20">
        <f t="shared" si="76"/>
        <v>265586.23952541815</v>
      </c>
      <c r="AO169" s="20">
        <f t="shared" si="77"/>
        <v>515.35059864660889</v>
      </c>
      <c r="AQ169" s="20">
        <f t="shared" si="78"/>
        <v>6.7224633686952188E-5</v>
      </c>
      <c r="AR169" s="20">
        <v>524</v>
      </c>
      <c r="AS169" s="20">
        <f t="shared" si="79"/>
        <v>-1.526512436749434</v>
      </c>
    </row>
    <row r="170" spans="2:45" x14ac:dyDescent="0.3">
      <c r="B170" s="32">
        <v>253</v>
      </c>
      <c r="C170" s="32">
        <v>3518</v>
      </c>
      <c r="D170" s="7">
        <f t="shared" si="65"/>
        <v>526</v>
      </c>
      <c r="E170" s="17">
        <f>1/$E$29-LN($E$29)+($J$16*EXP($J$16/($D$14*$J$15))/(($D$14*$J$15^2)*(1-1.05*($J$17^1.26))))*'F(T,E)'!F150</f>
        <v>341649.4306327845</v>
      </c>
      <c r="F170" s="17">
        <f>1/$F$29-LN($F$29)+($K$16*EXP($K$16/($D$14*$K$15))/(($D$14*$K$15^2)*(1-1.05*($K$17^1.26))))*'F(T,E)'!G150</f>
        <v>23110.430355329459</v>
      </c>
      <c r="G170" s="17">
        <f>1/$G$29-LN($G$29)+($L$16*EXP($L$16/($D$14*$L$15))/(($D$14*$L$15^2)*(1-1.05*($L$17^1.26))))*'F(T,E)'!H150</f>
        <v>1157.0601047708606</v>
      </c>
      <c r="H170" s="17">
        <f>1/$H$29-LN($H$29)+($M$16*EXP($M$16/($D$14*$M$15))/(($D$14*$M$15^2)*(1-1.05*($M$17^1.26))))*'F(T,E)'!I150</f>
        <v>178.05702557694005</v>
      </c>
      <c r="I170" s="17">
        <f>1/$I$29-LN($I$29)+($N$16*EXP($N$16/($D$14*$N$15))/(($D$14*$N$15^2)*(1-1.05*($N$17^1.26))))*'F(T,E)'!J150</f>
        <v>45.250689652118986</v>
      </c>
      <c r="J170" s="17">
        <f>1/$J$29-LN($J$29)+($O$16*EXP($O$16/($D$14*$O$15))/(($D$14*$O$15^2)*(1-1.05*($O$17^1.26))))*'F(T,E)'!K150</f>
        <v>-0.53127986142718542</v>
      </c>
      <c r="K170" s="17">
        <f>1/$K$29-LN($K$29)+($P$16*EXP($P$16/($D$14*$P$15))/(($D$14*$P$15^2)*(1-1.05*($P$17^1.26))))*'F(T,E)'!L150</f>
        <v>0.42252000235241272</v>
      </c>
      <c r="L170" s="17">
        <f>1/$L$29-LN($L$29)+($Q$16*EXP($Q$16/($D$14*$Q$15))/(($D$14*$Q$15^2)*(1-1.05*($Q$17^1.26))))*'F(T,E)'!M150</f>
        <v>-1.1811577153171129</v>
      </c>
      <c r="M170" s="17">
        <f>1/$M$29-LN($M$29)+($R$16*EXP($R$16/($D$14*$R$15))/(($D$14*$R$15^2)*(1-1.05*($R$17^1.26))))*'F(T,E)'!N150</f>
        <v>1019.4999653203367</v>
      </c>
      <c r="N170" s="17">
        <f>1/$N$29-LN($N$29)+($S$16*EXP($S$16/($D$14*$S$15))/(($D$14*$S$15^2)*(1-1.05*($S$17^1.26))))*'F(T,E)'!O150</f>
        <v>-11.511567039153887</v>
      </c>
      <c r="O170" s="25"/>
      <c r="P170" s="20">
        <f t="shared" si="55"/>
        <v>341636.68911099789</v>
      </c>
      <c r="Q170" s="20">
        <f t="shared" si="56"/>
        <v>23100.382533396194</v>
      </c>
      <c r="R170" s="20">
        <f t="shared" si="57"/>
        <v>1150.0095151823211</v>
      </c>
      <c r="S170" s="20">
        <f t="shared" si="58"/>
        <v>172.90428738763725</v>
      </c>
      <c r="T170" s="20">
        <f t="shared" si="59"/>
        <v>41.524408247239187</v>
      </c>
      <c r="U170" s="20">
        <f t="shared" si="60"/>
        <v>0.3957337587647719</v>
      </c>
      <c r="V170" s="20">
        <f t="shared" si="61"/>
        <v>0.7330548088772818</v>
      </c>
      <c r="W170" s="20">
        <f t="shared" si="62"/>
        <v>0.24115552137851251</v>
      </c>
      <c r="X170" s="20">
        <f t="shared" si="63"/>
        <v>1012.5762950511418</v>
      </c>
      <c r="Y170" s="20">
        <f t="shared" si="64"/>
        <v>1.0013493218397751E-5</v>
      </c>
      <c r="Z170" s="25"/>
      <c r="AA170" s="20">
        <f t="shared" si="66"/>
        <v>1.7947736427416819E-3</v>
      </c>
      <c r="AB170" s="20">
        <f t="shared" si="67"/>
        <v>3.6770889707596295E-2</v>
      </c>
      <c r="AC170" s="20">
        <f t="shared" si="68"/>
        <v>4.9154269864613607</v>
      </c>
      <c r="AD170" s="20">
        <f t="shared" si="69"/>
        <v>9.5907304964510144E-3</v>
      </c>
      <c r="AE170" s="20">
        <f t="shared" si="70"/>
        <v>233.21421766428196</v>
      </c>
      <c r="AF170" s="20">
        <f t="shared" si="71"/>
        <v>2517.4743529292095</v>
      </c>
      <c r="AG170" s="20">
        <f t="shared" si="72"/>
        <v>1191.2263879040795</v>
      </c>
      <c r="AH170" s="20">
        <f t="shared" si="73"/>
        <v>12.233752363467715</v>
      </c>
      <c r="AI170" s="20">
        <f t="shared" si="74"/>
        <v>0</v>
      </c>
      <c r="AJ170" s="20">
        <v>50</v>
      </c>
      <c r="AK170" s="25"/>
      <c r="AL170" s="20">
        <f t="shared" si="75"/>
        <v>4009.1122942413467</v>
      </c>
      <c r="AM170" s="25"/>
      <c r="AN170" s="20">
        <f t="shared" si="76"/>
        <v>241191.28555499911</v>
      </c>
      <c r="AO170" s="20">
        <f t="shared" si="77"/>
        <v>491.11229424134672</v>
      </c>
      <c r="AQ170" s="20">
        <f t="shared" si="78"/>
        <v>6.4062881010006279E-5</v>
      </c>
      <c r="AR170" s="20">
        <v>526</v>
      </c>
      <c r="AS170" s="20">
        <f t="shared" si="79"/>
        <v>-1.395998562368808</v>
      </c>
    </row>
    <row r="171" spans="2:45" x14ac:dyDescent="0.3">
      <c r="B171" s="32">
        <v>254</v>
      </c>
      <c r="C171" s="32">
        <v>3658</v>
      </c>
      <c r="D171" s="7">
        <f t="shared" si="65"/>
        <v>527</v>
      </c>
      <c r="E171" s="17">
        <f>1/$E$29-LN($E$29)+($J$16*EXP($J$16/($D$14*$J$15))/(($D$14*$J$15^2)*(1-1.05*($J$17^1.26))))*'F(T,E)'!F151</f>
        <v>357123.47480844019</v>
      </c>
      <c r="F171" s="17">
        <f>1/$F$29-LN($F$29)+($K$16*EXP($K$16/($D$14*$K$15))/(($D$14*$K$15^2)*(1-1.05*($K$17^1.26))))*'F(T,E)'!G151</f>
        <v>24448.858597795392</v>
      </c>
      <c r="G171" s="17">
        <f>1/$G$29-LN($G$29)+($L$16*EXP($L$16/($D$14*$L$15))/(($D$14*$L$15^2)*(1-1.05*($L$17^1.26))))*'F(T,E)'!H151</f>
        <v>1229.6264001337779</v>
      </c>
      <c r="H171" s="17">
        <f>1/$H$29-LN($H$29)+($M$16*EXP($M$16/($D$14*$M$15))/(($D$14*$M$15^2)*(1-1.05*($M$17^1.26))))*'F(T,E)'!I151</f>
        <v>192.27982626699159</v>
      </c>
      <c r="I171" s="17">
        <f>1/$I$29-LN($I$29)+($N$16*EXP($N$16/($D$14*$N$15))/(($D$14*$N$15^2)*(1-1.05*($N$17^1.26))))*'F(T,E)'!J151</f>
        <v>50.202458528729551</v>
      </c>
      <c r="J171" s="17">
        <f>1/$J$29-LN($J$29)+($O$16*EXP($O$16/($D$14*$O$15))/(($D$14*$O$15^2)*(1-1.05*($O$17^1.26))))*'F(T,E)'!K151</f>
        <v>-0.44228229855935175</v>
      </c>
      <c r="K171" s="17">
        <f>1/$K$29-LN($K$29)+($P$16*EXP($P$16/($D$14*$P$15))/(($D$14*$P$15^2)*(1-1.05*($P$17^1.26))))*'F(T,E)'!L151</f>
        <v>0.43503234099949628</v>
      </c>
      <c r="L171" s="17">
        <f>1/$L$29-LN($L$29)+($Q$16*EXP($Q$16/($D$14*$Q$15))/(($D$14*$Q$15^2)*(1-1.05*($Q$17^1.26))))*'F(T,E)'!M151</f>
        <v>-1.1809813945213883</v>
      </c>
      <c r="M171" s="17">
        <f>1/$M$29-LN($M$29)+($R$16*EXP($R$16/($D$14*$R$15))/(($D$14*$R$15^2)*(1-1.05*($R$17^1.26))))*'F(T,E)'!N151</f>
        <v>1035.641296340918</v>
      </c>
      <c r="N171" s="17">
        <f>1/$N$29-LN($N$29)+($S$16*EXP($S$16/($D$14*$S$15))/(($D$14*$S$15^2)*(1-1.05*($S$17^1.26))))*'F(T,E)'!O151</f>
        <v>-11.511465799542355</v>
      </c>
      <c r="O171" s="25"/>
      <c r="P171" s="20">
        <f t="shared" si="55"/>
        <v>357110.68898947258</v>
      </c>
      <c r="Q171" s="20">
        <f t="shared" si="56"/>
        <v>24438.754465627037</v>
      </c>
      <c r="R171" s="20">
        <f t="shared" si="57"/>
        <v>1222.514827409191</v>
      </c>
      <c r="S171" s="20">
        <f t="shared" si="58"/>
        <v>187.04845854709163</v>
      </c>
      <c r="T171" s="20">
        <f t="shared" si="59"/>
        <v>46.365894374794024</v>
      </c>
      <c r="U171" s="20">
        <f t="shared" si="60"/>
        <v>0.42154542912728166</v>
      </c>
      <c r="V171" s="20">
        <f t="shared" si="61"/>
        <v>0.73835834750505003</v>
      </c>
      <c r="W171" s="20">
        <f t="shared" si="62"/>
        <v>0.24118978232823668</v>
      </c>
      <c r="X171" s="20">
        <f t="shared" si="63"/>
        <v>1028.7018721383499</v>
      </c>
      <c r="Y171" s="20">
        <f t="shared" si="64"/>
        <v>1.0014507021726689E-5</v>
      </c>
      <c r="Z171" s="25"/>
      <c r="AA171" s="20">
        <f t="shared" si="66"/>
        <v>1.7108256004742465E-3</v>
      </c>
      <c r="AB171" s="20">
        <f t="shared" si="67"/>
        <v>3.4629437102621674E-2</v>
      </c>
      <c r="AC171" s="20">
        <f t="shared" si="68"/>
        <v>4.6050822422845661</v>
      </c>
      <c r="AD171" s="20">
        <f t="shared" si="69"/>
        <v>8.7813570286595366E-3</v>
      </c>
      <c r="AE171" s="20">
        <f t="shared" si="70"/>
        <v>205.60414622812928</v>
      </c>
      <c r="AF171" s="20">
        <f t="shared" si="71"/>
        <v>2495.2108011193936</v>
      </c>
      <c r="AG171" s="20">
        <f t="shared" si="72"/>
        <v>1297.089520035252</v>
      </c>
      <c r="AH171" s="20">
        <f t="shared" si="73"/>
        <v>13.512557565421526</v>
      </c>
      <c r="AI171" s="20">
        <f t="shared" si="74"/>
        <v>0</v>
      </c>
      <c r="AJ171" s="20">
        <v>50</v>
      </c>
      <c r="AK171" s="25"/>
      <c r="AL171" s="20">
        <f t="shared" si="75"/>
        <v>4066.0672288102128</v>
      </c>
      <c r="AM171" s="25"/>
      <c r="AN171" s="20">
        <f t="shared" si="76"/>
        <v>166518.86322884655</v>
      </c>
      <c r="AO171" s="20">
        <f t="shared" si="77"/>
        <v>408.06722881021278</v>
      </c>
      <c r="AQ171" s="20">
        <f t="shared" si="78"/>
        <v>5.3230111788862601E-5</v>
      </c>
      <c r="AR171" s="20">
        <v>527</v>
      </c>
      <c r="AS171" s="20">
        <f t="shared" si="79"/>
        <v>-1.1155473723625282</v>
      </c>
    </row>
    <row r="172" spans="2:45" x14ac:dyDescent="0.3">
      <c r="B172" s="32">
        <v>256</v>
      </c>
      <c r="C172" s="32">
        <v>3814</v>
      </c>
      <c r="D172" s="7">
        <f t="shared" si="65"/>
        <v>529</v>
      </c>
      <c r="E172" s="17">
        <f>1/$E$29-LN($E$29)+($J$16*EXP($J$16/($D$14*$J$15))/(($D$14*$J$15^2)*(1-1.05*($J$17^1.26))))*'F(T,E)'!F152</f>
        <v>390017.3255657127</v>
      </c>
      <c r="F172" s="17">
        <f>1/$F$29-LN($F$29)+($K$16*EXP($K$16/($D$14*$K$15))/(($D$14*$K$15^2)*(1-1.05*($K$17^1.26))))*'F(T,E)'!G152</f>
        <v>27345.77145477257</v>
      </c>
      <c r="G172" s="17">
        <f>1/$G$29-LN($G$29)+($L$16*EXP($L$16/($D$14*$L$15))/(($D$14*$L$15^2)*(1-1.05*($L$17^1.26))))*'F(T,E)'!H152</f>
        <v>1387.7306365960949</v>
      </c>
      <c r="H172" s="17">
        <f>1/$H$29-LN($H$29)+($M$16*EXP($M$16/($D$14*$M$15))/(($D$14*$M$15^2)*(1-1.05*($M$17^1.26))))*'F(T,E)'!I152</f>
        <v>223.81833464092048</v>
      </c>
      <c r="I172" s="17">
        <f>1/$I$29-LN($I$29)+($N$16*EXP($N$16/($D$14*$N$15))/(($D$14*$N$15^2)*(1-1.05*($N$17^1.26))))*'F(T,E)'!J152</f>
        <v>61.579969468255996</v>
      </c>
      <c r="J172" s="17">
        <f>1/$J$29-LN($J$29)+($O$16*EXP($O$16/($D$14*$O$15))/(($D$14*$O$15^2)*(1-1.05*($O$17^1.26))))*'F(T,E)'!K152</f>
        <v>-0.2437446307307658</v>
      </c>
      <c r="K172" s="17">
        <f>1/$K$29-LN($K$29)+($P$16*EXP($P$16/($D$14*$P$15))/(($D$14*$P$15^2)*(1-1.05*($P$17^1.26))))*'F(T,E)'!L152</f>
        <v>0.46392602767083568</v>
      </c>
      <c r="L172" s="17">
        <f>1/$L$29-LN($L$29)+($Q$16*EXP($Q$16/($D$14*$Q$15))/(($D$14*$Q$15^2)*(1-1.05*($Q$17^1.26))))*'F(T,E)'!M152</f>
        <v>-1.180571633407612</v>
      </c>
      <c r="M172" s="17">
        <f>1/$M$29-LN($M$29)+($R$16*EXP($R$16/($D$14*$R$15))/(($D$14*$R$15^2)*(1-1.05*($R$17^1.26))))*'F(T,E)'!N152</f>
        <v>1068.5066629541934</v>
      </c>
      <c r="N172" s="17">
        <f>1/$N$29-LN($N$29)+($S$16*EXP($S$16/($D$14*$S$15))/(($D$14*$S$15^2)*(1-1.05*($S$17^1.26))))*'F(T,E)'!O152</f>
        <v>-11.511241110891717</v>
      </c>
      <c r="O172" s="25"/>
      <c r="P172" s="20">
        <f t="shared" si="55"/>
        <v>390004.45163577539</v>
      </c>
      <c r="Q172" s="20">
        <f t="shared" si="56"/>
        <v>27335.55532438412</v>
      </c>
      <c r="R172" s="20">
        <f t="shared" si="57"/>
        <v>1380.4978184667596</v>
      </c>
      <c r="S172" s="20">
        <f t="shared" si="58"/>
        <v>218.43186052615937</v>
      </c>
      <c r="T172" s="20">
        <f t="shared" si="59"/>
        <v>57.527702847817878</v>
      </c>
      <c r="U172" s="20">
        <f t="shared" si="60"/>
        <v>0.48332380841878858</v>
      </c>
      <c r="V172" s="20">
        <f t="shared" si="61"/>
        <v>0.75068936669462072</v>
      </c>
      <c r="W172" s="20">
        <f t="shared" si="62"/>
        <v>0.24126941828676532</v>
      </c>
      <c r="X172" s="20">
        <f t="shared" si="63"/>
        <v>1061.5359090848415</v>
      </c>
      <c r="Y172" s="20">
        <f t="shared" si="64"/>
        <v>1.001675739806481E-5</v>
      </c>
      <c r="Z172" s="25"/>
      <c r="AA172" s="20">
        <f t="shared" si="66"/>
        <v>1.555311391146787E-3</v>
      </c>
      <c r="AB172" s="20">
        <f t="shared" si="67"/>
        <v>3.0733391023971372E-2</v>
      </c>
      <c r="AC172" s="20">
        <f t="shared" si="68"/>
        <v>4.0453149873101655</v>
      </c>
      <c r="AD172" s="20">
        <f t="shared" si="69"/>
        <v>7.3869862853259572E-3</v>
      </c>
      <c r="AE172" s="20">
        <f t="shared" si="70"/>
        <v>161.06569693121688</v>
      </c>
      <c r="AF172" s="20">
        <f t="shared" si="71"/>
        <v>2409.7041534460586</v>
      </c>
      <c r="AG172" s="20">
        <f t="shared" si="72"/>
        <v>1531.4539362343121</v>
      </c>
      <c r="AH172" s="20">
        <f t="shared" si="73"/>
        <v>16.465649540678111</v>
      </c>
      <c r="AI172" s="20">
        <f t="shared" si="74"/>
        <v>0</v>
      </c>
      <c r="AJ172" s="20">
        <v>50</v>
      </c>
      <c r="AK172" s="25"/>
      <c r="AL172" s="20">
        <f t="shared" si="75"/>
        <v>4172.7744268282768</v>
      </c>
      <c r="AM172" s="25"/>
      <c r="AN172" s="20">
        <f t="shared" si="76"/>
        <v>128719.08934595852</v>
      </c>
      <c r="AO172" s="20">
        <f t="shared" si="77"/>
        <v>358.77442682827677</v>
      </c>
      <c r="AQ172" s="20">
        <f t="shared" si="78"/>
        <v>4.6800138552503921E-5</v>
      </c>
      <c r="AR172" s="20">
        <v>529</v>
      </c>
      <c r="AS172" s="20">
        <f t="shared" si="79"/>
        <v>-0.94067757427445398</v>
      </c>
    </row>
    <row r="173" spans="2:45" x14ac:dyDescent="0.3">
      <c r="B173" s="32">
        <v>257</v>
      </c>
      <c r="C173" s="32">
        <v>3972</v>
      </c>
      <c r="D173" s="7">
        <f t="shared" si="65"/>
        <v>530</v>
      </c>
      <c r="E173" s="17">
        <f>1/$E$29-LN($E$29)+($J$16*EXP($J$16/($D$14*$J$15))/(($D$14*$J$15^2)*(1-1.05*($J$17^1.26))))*'F(T,E)'!F153</f>
        <v>407485.8053023839</v>
      </c>
      <c r="F173" s="17">
        <f>1/$F$29-LN($F$29)+($K$16*EXP($K$16/($D$14*$K$15))/(($D$14*$K$15^2)*(1-1.05*($K$17^1.26))))*'F(T,E)'!G153</f>
        <v>28911.608270574874</v>
      </c>
      <c r="G173" s="17">
        <f>1/$G$29-LN($G$29)+($L$16*EXP($L$16/($D$14*$L$15))/(($D$14*$L$15^2)*(1-1.05*($L$17^1.26))))*'F(T,E)'!H153</f>
        <v>1473.7422342642769</v>
      </c>
      <c r="H173" s="17">
        <f>1/$H$29-LN($H$29)+($M$16*EXP($M$16/($D$14*$M$15))/(($D$14*$M$15^2)*(1-1.05*($M$17^1.26))))*'F(T,E)'!I153</f>
        <v>241.27281467695127</v>
      </c>
      <c r="I173" s="17">
        <f>1/$I$29-LN($I$29)+($N$16*EXP($N$16/($D$14*$N$15))/(($D$14*$N$15^2)*(1-1.05*($N$17^1.26))))*'F(T,E)'!J153</f>
        <v>68.097196273510292</v>
      </c>
      <c r="J173" s="17">
        <f>1/$J$29-LN($J$29)+($O$16*EXP($O$16/($D$14*$O$15))/(($D$14*$O$15^2)*(1-1.05*($O$17^1.26))))*'F(T,E)'!K153</f>
        <v>-0.13322376094264476</v>
      </c>
      <c r="K173" s="17">
        <f>1/$K$29-LN($K$29)+($P$16*EXP($P$16/($D$14*$P$15))/(($D$14*$P$15^2)*(1-1.05*($P$17^1.26))))*'F(T,E)'!L153</f>
        <v>0.48055704813438171</v>
      </c>
      <c r="L173" s="17">
        <f>1/$L$29-LN($L$29)+($Q$16*EXP($Q$16/($D$14*$Q$15))/(($D$14*$Q$15^2)*(1-1.05*($Q$17^1.26))))*'F(T,E)'!M153</f>
        <v>-1.1803343277116871</v>
      </c>
      <c r="M173" s="17">
        <f>1/$M$29-LN($M$29)+($R$16*EXP($R$16/($D$14*$R$15))/(($D$14*$R$15^2)*(1-1.05*($R$17^1.26))))*'F(T,E)'!N153</f>
        <v>1085.2337337502365</v>
      </c>
      <c r="N173" s="17">
        <f>1/$N$29-LN($N$29)+($S$16*EXP($S$16/($D$14*$S$15))/(($D$14*$S$15^2)*(1-1.05*($S$17^1.26))))*'F(T,E)'!O153</f>
        <v>-11.511116656209142</v>
      </c>
      <c r="O173" s="25"/>
      <c r="P173" s="20">
        <f t="shared" si="55"/>
        <v>407472.88755685702</v>
      </c>
      <c r="Q173" s="20">
        <f t="shared" si="56"/>
        <v>28901.33644975604</v>
      </c>
      <c r="R173" s="20">
        <f t="shared" si="57"/>
        <v>1466.4491492637021</v>
      </c>
      <c r="S173" s="20">
        <f t="shared" si="58"/>
        <v>235.80978917497276</v>
      </c>
      <c r="T173" s="20">
        <f t="shared" si="59"/>
        <v>63.93926266166752</v>
      </c>
      <c r="U173" s="20">
        <f t="shared" si="60"/>
        <v>0.52024043613832527</v>
      </c>
      <c r="V173" s="20">
        <f t="shared" si="61"/>
        <v>0.75784001963718883</v>
      </c>
      <c r="W173" s="20">
        <f t="shared" si="62"/>
        <v>0.2413155476891754</v>
      </c>
      <c r="X173" s="20">
        <f t="shared" si="63"/>
        <v>1078.2474033820154</v>
      </c>
      <c r="Y173" s="20">
        <f t="shared" si="64"/>
        <v>1.0018004095515637E-5</v>
      </c>
      <c r="Z173" s="25"/>
      <c r="AA173" s="20">
        <f t="shared" si="66"/>
        <v>1.483310591715768E-3</v>
      </c>
      <c r="AB173" s="20">
        <f t="shared" si="67"/>
        <v>2.8962299892730886E-2</v>
      </c>
      <c r="AC173" s="20">
        <f t="shared" si="68"/>
        <v>3.7930416005446208</v>
      </c>
      <c r="AD173" s="20">
        <f t="shared" si="69"/>
        <v>6.7858205011744653E-3</v>
      </c>
      <c r="AE173" s="20">
        <f t="shared" si="70"/>
        <v>143.05864915259275</v>
      </c>
      <c r="AF173" s="20">
        <f t="shared" si="71"/>
        <v>2346.9656274411191</v>
      </c>
      <c r="AG173" s="20">
        <f t="shared" si="72"/>
        <v>1660.2811597398193</v>
      </c>
      <c r="AH173" s="20">
        <f t="shared" si="73"/>
        <v>18.165298654842477</v>
      </c>
      <c r="AI173" s="20">
        <f t="shared" si="74"/>
        <v>0</v>
      </c>
      <c r="AJ173" s="20">
        <v>50</v>
      </c>
      <c r="AK173" s="25"/>
      <c r="AL173" s="20">
        <f t="shared" si="75"/>
        <v>4222.3010080199037</v>
      </c>
      <c r="AM173" s="25"/>
      <c r="AN173" s="20">
        <f t="shared" si="76"/>
        <v>62650.594615779919</v>
      </c>
      <c r="AO173" s="20">
        <f t="shared" si="77"/>
        <v>250.30100801990375</v>
      </c>
      <c r="AQ173" s="20">
        <f t="shared" si="78"/>
        <v>3.2650381351650014E-5</v>
      </c>
      <c r="AR173" s="20">
        <v>530</v>
      </c>
      <c r="AS173" s="20">
        <f t="shared" si="79"/>
        <v>-0.63016366570972748</v>
      </c>
    </row>
    <row r="174" spans="2:45" x14ac:dyDescent="0.3">
      <c r="B174" s="32">
        <v>259</v>
      </c>
      <c r="C174" s="32">
        <v>4162</v>
      </c>
      <c r="D174" s="7">
        <f t="shared" si="65"/>
        <v>532</v>
      </c>
      <c r="E174" s="17">
        <f>1/$E$29-LN($E$29)+($J$16*EXP($J$16/($D$14*$J$15))/(($D$14*$J$15^2)*(1-1.05*($J$17^1.26))))*'F(T,E)'!F154</f>
        <v>444593.64743122016</v>
      </c>
      <c r="F174" s="17">
        <f>1/$F$29-LN($F$29)+($K$16*EXP($K$16/($D$14*$K$15))/(($D$14*$K$15^2)*(1-1.05*($K$17^1.26))))*'F(T,E)'!G154</f>
        <v>32297.69269495707</v>
      </c>
      <c r="G174" s="17">
        <f>1/$G$29-LN($G$29)+($L$16*EXP($L$16/($D$14*$L$15))/(($D$14*$L$15^2)*(1-1.05*($L$17^1.26))))*'F(T,E)'!H154</f>
        <v>1660.9586471796738</v>
      </c>
      <c r="H174" s="17">
        <f>1/$H$29-LN($H$29)+($M$16*EXP($M$16/($D$14*$M$15))/(($D$14*$M$15^2)*(1-1.05*($M$17^1.26))))*'F(T,E)'!I154</f>
        <v>279.93213687353239</v>
      </c>
      <c r="I174" s="17">
        <f>1/$I$29-LN($I$29)+($N$16*EXP($N$16/($D$14*$N$15))/(($D$14*$N$15^2)*(1-1.05*($N$17^1.26))))*'F(T,E)'!J154</f>
        <v>83.048008682570213</v>
      </c>
      <c r="J174" s="17">
        <f>1/$J$29-LN($J$29)+($O$16*EXP($O$16/($D$14*$O$15))/(($D$14*$O$15^2)*(1-1.05*($O$17^1.26))))*'F(T,E)'!K154</f>
        <v>0.11302306851210364</v>
      </c>
      <c r="K174" s="17">
        <f>1/$K$29-LN($K$29)+($P$16*EXP($P$16/($D$14*$P$15))/(($D$14*$P$15^2)*(1-1.05*($P$17^1.26))))*'F(T,E)'!L154</f>
        <v>0.51889893682307475</v>
      </c>
      <c r="L174" s="17">
        <f>1/$L$29-LN($L$29)+($Q$16*EXP($Q$16/($D$14*$Q$15))/(($D$14*$Q$15^2)*(1-1.05*($Q$17^1.26))))*'F(T,E)'!M154</f>
        <v>-1.1797837813983778</v>
      </c>
      <c r="M174" s="17">
        <f>1/$M$29-LN($M$29)+($R$16*EXP($R$16/($D$14*$R$15))/(($D$14*$R$15^2)*(1-1.05*($R$17^1.26))))*'F(T,E)'!N154</f>
        <v>1119.284263040073</v>
      </c>
      <c r="N174" s="17">
        <f>1/$N$29-LN($N$29)+($S$16*EXP($S$16/($D$14*$S$15))/(($D$14*$S$15^2)*(1-1.05*($S$17^1.26))))*'F(T,E)'!O154</f>
        <v>-11.510840770673264</v>
      </c>
      <c r="O174" s="25"/>
      <c r="P174" s="20">
        <f t="shared" si="55"/>
        <v>444580.64252985368</v>
      </c>
      <c r="Q174" s="20">
        <f t="shared" si="56"/>
        <v>32287.310104619184</v>
      </c>
      <c r="R174" s="20">
        <f t="shared" si="57"/>
        <v>1653.545729156604</v>
      </c>
      <c r="S174" s="20">
        <f t="shared" si="58"/>
        <v>274.31784940513893</v>
      </c>
      <c r="T174" s="20">
        <f t="shared" si="59"/>
        <v>78.682586811959425</v>
      </c>
      <c r="U174" s="20">
        <f t="shared" si="60"/>
        <v>0.60898489047613724</v>
      </c>
      <c r="V174" s="20">
        <f t="shared" si="61"/>
        <v>0.77447230942630019</v>
      </c>
      <c r="W174" s="20">
        <f t="shared" si="62"/>
        <v>0.24142259470172178</v>
      </c>
      <c r="X174" s="20">
        <f t="shared" si="63"/>
        <v>1112.2669544621706</v>
      </c>
      <c r="Y174" s="20">
        <f t="shared" si="64"/>
        <v>1.0020768271529166E-5</v>
      </c>
      <c r="Z174" s="25"/>
      <c r="AA174" s="20">
        <f t="shared" si="66"/>
        <v>1.3498249890063359E-3</v>
      </c>
      <c r="AB174" s="20">
        <f t="shared" si="67"/>
        <v>2.5736847156905985E-2</v>
      </c>
      <c r="AC174" s="20">
        <f t="shared" si="68"/>
        <v>3.3373781045529411</v>
      </c>
      <c r="AD174" s="20">
        <f t="shared" si="69"/>
        <v>5.742548776637945E-3</v>
      </c>
      <c r="AE174" s="20">
        <f t="shared" si="70"/>
        <v>113.55233697625222</v>
      </c>
      <c r="AF174" s="20">
        <f t="shared" si="71"/>
        <v>2185.1606986305687</v>
      </c>
      <c r="AG174" s="20">
        <f t="shared" si="72"/>
        <v>1941.4751683581801</v>
      </c>
      <c r="AH174" s="20">
        <f t="shared" si="73"/>
        <v>22.082888381733195</v>
      </c>
      <c r="AI174" s="20">
        <f t="shared" si="74"/>
        <v>0</v>
      </c>
      <c r="AJ174" s="20">
        <v>50</v>
      </c>
      <c r="AK174" s="25"/>
      <c r="AL174" s="20">
        <f t="shared" si="75"/>
        <v>4315.6412996722092</v>
      </c>
      <c r="AM174" s="25"/>
      <c r="AN174" s="20">
        <f t="shared" si="76"/>
        <v>23605.648964965603</v>
      </c>
      <c r="AO174" s="20">
        <f t="shared" si="77"/>
        <v>153.64129967220924</v>
      </c>
      <c r="AQ174" s="20">
        <f t="shared" si="78"/>
        <v>2.0041657304320036E-5</v>
      </c>
      <c r="AR174" s="20">
        <v>532</v>
      </c>
      <c r="AS174" s="20">
        <f t="shared" si="79"/>
        <v>-0.36915257009180502</v>
      </c>
    </row>
    <row r="175" spans="2:45" x14ac:dyDescent="0.3">
      <c r="B175" s="32">
        <v>260</v>
      </c>
      <c r="C175" s="32">
        <v>4318</v>
      </c>
      <c r="D175" s="7">
        <f t="shared" si="65"/>
        <v>533</v>
      </c>
      <c r="E175" s="17">
        <f>1/$E$29-LN($E$29)+($J$16*EXP($J$16/($D$14*$J$15))/(($D$14*$J$15^2)*(1-1.05*($J$17^1.26))))*'F(T,E)'!F155</f>
        <v>464286.65378658794</v>
      </c>
      <c r="F175" s="17">
        <f>1/$F$29-LN($F$29)+($K$16*EXP($K$16/($D$14*$K$15))/(($D$14*$K$15^2)*(1-1.05*($K$17^1.26))))*'F(T,E)'!G155</f>
        <v>34126.337500375223</v>
      </c>
      <c r="G175" s="17">
        <f>1/$G$29-LN($G$29)+($L$16*EXP($L$16/($D$14*$L$15))/(($D$14*$L$15^2)*(1-1.05*($L$17^1.26))))*'F(T,E)'!H155</f>
        <v>1762.7115327821903</v>
      </c>
      <c r="H175" s="17">
        <f>1/$H$29-LN($H$29)+($M$16*EXP($M$16/($D$14*$M$15))/(($D$14*$M$15^2)*(1-1.05*($M$17^1.26))))*'F(T,E)'!I155</f>
        <v>301.30321409660741</v>
      </c>
      <c r="I175" s="17">
        <f>1/$I$29-LN($I$29)+($N$16*EXP($N$16/($D$14*$N$15))/(($D$14*$N$15^2)*(1-1.05*($N$17^1.26))))*'F(T,E)'!J155</f>
        <v>91.599087153663817</v>
      </c>
      <c r="J175" s="17">
        <f>1/$J$29-LN($J$29)+($O$16*EXP($O$16/($D$14*$O$15))/(($D$14*$O$15^2)*(1-1.05*($O$17^1.26))))*'F(T,E)'!K155</f>
        <v>0.24993782578106694</v>
      </c>
      <c r="K175" s="17">
        <f>1/$K$29-LN($K$29)+($P$16*EXP($P$16/($D$14*$P$15))/(($D$14*$P$15^2)*(1-1.05*($P$17^1.26))))*'F(T,E)'!L155</f>
        <v>0.54093361490623992</v>
      </c>
      <c r="L175" s="17">
        <f>1/$L$29-LN($L$29)+($Q$16*EXP($Q$16/($D$14*$Q$15))/(($D$14*$Q$15^2)*(1-1.05*($Q$17^1.26))))*'F(T,E)'!M155</f>
        <v>-1.1794654649384808</v>
      </c>
      <c r="M175" s="17">
        <f>1/$M$29-LN($M$29)+($R$16*EXP($R$16/($D$14*$R$15))/(($D$14*$R$15^2)*(1-1.05*($R$17^1.26))))*'F(T,E)'!N155</f>
        <v>1136.6107762513341</v>
      </c>
      <c r="N175" s="17">
        <f>1/$N$29-LN($N$29)+($S$16*EXP($S$16/($D$14*$S$15))/(($D$14*$S$15^2)*(1-1.05*($S$17^1.26))))*'F(T,E)'!O155</f>
        <v>-11.510688133118734</v>
      </c>
      <c r="O175" s="25"/>
      <c r="P175" s="20">
        <f t="shared" si="55"/>
        <v>464273.6055432111</v>
      </c>
      <c r="Q175" s="20">
        <f t="shared" si="56"/>
        <v>34115.89982857852</v>
      </c>
      <c r="R175" s="20">
        <f t="shared" si="57"/>
        <v>1755.2390444379671</v>
      </c>
      <c r="S175" s="20">
        <f t="shared" si="58"/>
        <v>295.61415900946037</v>
      </c>
      <c r="T175" s="20">
        <f t="shared" si="59"/>
        <v>87.131666767936011</v>
      </c>
      <c r="U175" s="20">
        <f t="shared" si="60"/>
        <v>0.6621703124111189</v>
      </c>
      <c r="V175" s="20">
        <f t="shared" si="61"/>
        <v>0.78412299915987882</v>
      </c>
      <c r="W175" s="20">
        <f t="shared" si="62"/>
        <v>0.24148450490277257</v>
      </c>
      <c r="X175" s="20">
        <f t="shared" si="63"/>
        <v>1129.5780652229473</v>
      </c>
      <c r="Y175" s="20">
        <f t="shared" si="64"/>
        <v>1.0022297918501053E-5</v>
      </c>
      <c r="Z175" s="25"/>
      <c r="AA175" s="20">
        <f t="shared" si="66"/>
        <v>1.2879745850402752E-3</v>
      </c>
      <c r="AB175" s="20">
        <f t="shared" si="67"/>
        <v>2.4269114795334848E-2</v>
      </c>
      <c r="AC175" s="20">
        <f t="shared" si="68"/>
        <v>3.1317339010330811</v>
      </c>
      <c r="AD175" s="20">
        <f t="shared" si="69"/>
        <v>5.2896344521539303E-3</v>
      </c>
      <c r="AE175" s="20">
        <f t="shared" si="70"/>
        <v>101.44562065747222</v>
      </c>
      <c r="AF175" s="20">
        <f t="shared" si="71"/>
        <v>2088.4855524233603</v>
      </c>
      <c r="AG175" s="20">
        <f t="shared" si="72"/>
        <v>2093.6444166762544</v>
      </c>
      <c r="AH175" s="20">
        <f t="shared" si="73"/>
        <v>24.33353623966817</v>
      </c>
      <c r="AI175" s="20">
        <f t="shared" si="74"/>
        <v>0</v>
      </c>
      <c r="AJ175" s="20">
        <v>50</v>
      </c>
      <c r="AK175" s="25"/>
      <c r="AL175" s="20">
        <f t="shared" si="75"/>
        <v>4361.0717066216203</v>
      </c>
      <c r="AM175" s="25"/>
      <c r="AN175" s="20">
        <f t="shared" si="76"/>
        <v>1855.1719112989258</v>
      </c>
      <c r="AO175" s="20">
        <f t="shared" si="77"/>
        <v>43.071706621620251</v>
      </c>
      <c r="AQ175" s="20">
        <f t="shared" si="78"/>
        <v>5.6184657736195046E-6</v>
      </c>
      <c r="AR175" s="20">
        <v>533</v>
      </c>
      <c r="AS175" s="20">
        <f t="shared" si="79"/>
        <v>-9.9749204774479516E-2</v>
      </c>
    </row>
    <row r="176" spans="2:45" x14ac:dyDescent="0.3">
      <c r="B176" s="32">
        <v>262</v>
      </c>
      <c r="C176" s="32">
        <v>4474</v>
      </c>
      <c r="D176" s="7">
        <f t="shared" si="65"/>
        <v>535</v>
      </c>
      <c r="E176" s="17">
        <f>1/$E$29-LN($E$29)+($J$16*EXP($J$16/($D$14*$J$15))/(($D$14*$J$15^2)*(1-1.05*($J$17^1.26))))*'F(T,E)'!F156</f>
        <v>506091.57287042885</v>
      </c>
      <c r="F176" s="17">
        <f>1/$F$29-LN($F$29)+($K$16*EXP($K$16/($D$14*$K$15))/(($D$14*$K$15^2)*(1-1.05*($K$17^1.26))))*'F(T,E)'!G156</f>
        <v>38077.256838757348</v>
      </c>
      <c r="G176" s="17">
        <f>1/$G$29-LN($G$29)+($L$16*EXP($L$16/($D$14*$L$15))/(($D$14*$L$15^2)*(1-1.05*($L$17^1.26))))*'F(T,E)'!H156</f>
        <v>1983.9797954026649</v>
      </c>
      <c r="H176" s="17">
        <f>1/$H$29-LN($H$29)+($M$16*EXP($M$16/($D$14*$M$15))/(($D$14*$M$15^2)*(1-1.05*($M$17^1.26))))*'F(T,E)'!I156</f>
        <v>348.58279831636173</v>
      </c>
      <c r="I176" s="17">
        <f>1/$I$29-LN($I$29)+($N$16*EXP($N$16/($D$14*$N$15))/(($D$14*$N$15^2)*(1-1.05*($N$17^1.26))))*'F(T,E)'!J156</f>
        <v>111.18525839087457</v>
      </c>
      <c r="J176" s="17">
        <f>1/$J$29-LN($J$29)+($O$16*EXP($O$16/($D$14*$O$15))/(($D$14*$O$15^2)*(1-1.05*($O$17^1.26))))*'F(T,E)'!K156</f>
        <v>0.55462017435808275</v>
      </c>
      <c r="K176" s="17">
        <f>1/$K$29-LN($K$29)+($P$16*EXP($P$16/($D$14*$P$15))/(($D$14*$P$15^2)*(1-1.05*($P$17^1.26))))*'F(T,E)'!L156</f>
        <v>0.59165177774441702</v>
      </c>
      <c r="L176" s="17">
        <f>1/$L$29-LN($L$29)+($Q$16*EXP($Q$16/($D$14*$Q$15))/(($D$14*$Q$15^2)*(1-1.05*($Q$17^1.26))))*'F(T,E)'!M156</f>
        <v>-1.1787282130531298</v>
      </c>
      <c r="M176" s="17">
        <f>1/$M$29-LN($M$29)+($R$16*EXP($R$16/($D$14*$R$15))/(($D$14*$R$15^2)*(1-1.05*($R$17^1.26))))*'F(T,E)'!N156</f>
        <v>1171.8739599444298</v>
      </c>
      <c r="N176" s="17">
        <f>1/$N$29-LN($N$29)+($S$16*EXP($S$16/($D$14*$S$15))/(($D$14*$S$15^2)*(1-1.05*($S$17^1.26))))*'F(T,E)'!O156</f>
        <v>-11.510350165720627</v>
      </c>
      <c r="O176" s="25"/>
      <c r="P176" s="20">
        <f t="shared" si="55"/>
        <v>506078.43841049931</v>
      </c>
      <c r="Q176" s="20">
        <f t="shared" si="56"/>
        <v>38066.709604807475</v>
      </c>
      <c r="R176" s="20">
        <f t="shared" si="57"/>
        <v>1976.3888488413395</v>
      </c>
      <c r="S176" s="20">
        <f t="shared" si="58"/>
        <v>342.74580922490901</v>
      </c>
      <c r="T176" s="20">
        <f t="shared" si="59"/>
        <v>106.51695422380547</v>
      </c>
      <c r="U176" s="20">
        <f t="shared" si="60"/>
        <v>0.79015117077450192</v>
      </c>
      <c r="V176" s="20">
        <f t="shared" si="61"/>
        <v>0.80659070188958137</v>
      </c>
      <c r="W176" s="20">
        <f t="shared" si="62"/>
        <v>0.2416279440593653</v>
      </c>
      <c r="X176" s="20">
        <f t="shared" si="63"/>
        <v>1164.8106155054811</v>
      </c>
      <c r="Y176" s="20">
        <f t="shared" si="64"/>
        <v>1.0025685666934869E-5</v>
      </c>
      <c r="Z176" s="25"/>
      <c r="AA176" s="20">
        <f t="shared" si="66"/>
        <v>1.1732195454203067E-3</v>
      </c>
      <c r="AB176" s="20">
        <f t="shared" si="67"/>
        <v>2.1593508712868133E-2</v>
      </c>
      <c r="AC176" s="20">
        <f t="shared" si="68"/>
        <v>2.7597995365614394</v>
      </c>
      <c r="AD176" s="20">
        <f t="shared" si="69"/>
        <v>4.4988920979738521E-3</v>
      </c>
      <c r="AE176" s="20">
        <f t="shared" si="70"/>
        <v>81.360466991209989</v>
      </c>
      <c r="AF176" s="20">
        <f t="shared" si="71"/>
        <v>1871.5467178718438</v>
      </c>
      <c r="AG176" s="20">
        <f t="shared" si="72"/>
        <v>2419.6611769178394</v>
      </c>
      <c r="AH176" s="20">
        <f t="shared" si="73"/>
        <v>29.51125604096384</v>
      </c>
      <c r="AI176" s="20">
        <f t="shared" si="74"/>
        <v>0</v>
      </c>
      <c r="AJ176" s="20">
        <v>50</v>
      </c>
      <c r="AK176" s="25"/>
      <c r="AL176" s="20">
        <f t="shared" si="75"/>
        <v>4454.8666829787744</v>
      </c>
      <c r="AM176" s="25"/>
      <c r="AN176" s="20">
        <f t="shared" si="76"/>
        <v>366.08382023472103</v>
      </c>
      <c r="AO176" s="20">
        <f t="shared" si="77"/>
        <v>19.133317021225594</v>
      </c>
      <c r="AQ176" s="20">
        <f t="shared" si="78"/>
        <v>2.4958353232654798E-6</v>
      </c>
      <c r="AR176" s="20">
        <v>535</v>
      </c>
      <c r="AS176" s="20">
        <f t="shared" si="79"/>
        <v>4.2765572242345978E-2</v>
      </c>
    </row>
    <row r="177" spans="2:45" x14ac:dyDescent="0.3">
      <c r="B177" s="32">
        <v>263</v>
      </c>
      <c r="C177" s="32">
        <v>4530</v>
      </c>
      <c r="D177" s="7">
        <f t="shared" si="65"/>
        <v>536</v>
      </c>
      <c r="E177" s="17">
        <f>1/$E$29-LN($E$29)+($J$16*EXP($J$16/($D$14*$J$15))/(($D$14*$J$15^2)*(1-1.05*($J$17^1.26))))*'F(T,E)'!F157</f>
        <v>528262.53533344739</v>
      </c>
      <c r="F177" s="17">
        <f>1/$F$29-LN($F$29)+($K$16*EXP($K$16/($D$14*$K$15))/(($D$14*$K$15^2)*(1-1.05*($K$17^1.26))))*'F(T,E)'!G157</f>
        <v>40209.106499586094</v>
      </c>
      <c r="G177" s="17">
        <f>1/$G$29-LN($G$29)+($L$16*EXP($L$16/($D$14*$L$15))/(($D$14*$L$15^2)*(1-1.05*($L$17^1.26))))*'F(T,E)'!H157</f>
        <v>2104.1282241138529</v>
      </c>
      <c r="H177" s="17">
        <f>1/$H$29-LN($H$29)+($M$16*EXP($M$16/($D$14*$M$15))/(($D$14*$M$15^2)*(1-1.05*($M$17^1.26))))*'F(T,E)'!I157</f>
        <v>374.6900081426416</v>
      </c>
      <c r="I177" s="17">
        <f>1/$I$29-LN($I$29)+($N$16*EXP($N$16/($D$14*$N$15))/(($D$14*$N$15^2)*(1-1.05*($N$17^1.26))))*'F(T,E)'!J157</f>
        <v>122.37080285481531</v>
      </c>
      <c r="J177" s="17">
        <f>1/$J$29-LN($J$29)+($O$16*EXP($O$16/($D$14*$O$15))/(($D$14*$O$15^2)*(1-1.05*($O$17^1.26))))*'F(T,E)'!K157</f>
        <v>0.72382542275287398</v>
      </c>
      <c r="K177" s="17">
        <f>1/$K$29-LN($K$29)+($P$16*EXP($P$16/($D$14*$P$15))/(($D$14*$P$15^2)*(1-1.05*($P$17^1.26))))*'F(T,E)'!L157</f>
        <v>0.62075394474562973</v>
      </c>
      <c r="L177" s="17">
        <f>1/$L$29-LN($L$29)+($Q$16*EXP($Q$16/($D$14*$Q$15))/(($D$14*$Q$15^2)*(1-1.05*($Q$17^1.26))))*'F(T,E)'!M157</f>
        <v>-1.1783026334872024</v>
      </c>
      <c r="M177" s="17">
        <f>1/$M$29-LN($M$29)+($R$16*EXP($R$16/($D$14*$R$15))/(($D$14*$R$15^2)*(1-1.05*($R$17^1.26))))*'F(T,E)'!N157</f>
        <v>1189.8137035621007</v>
      </c>
      <c r="N177" s="17">
        <f>1/$N$29-LN($N$29)+($S$16*EXP($S$16/($D$14*$S$15))/(($D$14*$S$15^2)*(1-1.05*($S$17^1.26))))*'F(T,E)'!O157</f>
        <v>-11.510163391072943</v>
      </c>
      <c r="O177" s="25"/>
      <c r="P177" s="20">
        <f t="shared" si="55"/>
        <v>528249.35799725458</v>
      </c>
      <c r="Q177" s="20">
        <f t="shared" si="56"/>
        <v>40198.504782641226</v>
      </c>
      <c r="R177" s="20">
        <f t="shared" si="57"/>
        <v>2096.4783858474607</v>
      </c>
      <c r="S177" s="20">
        <f t="shared" si="58"/>
        <v>368.77980840191049</v>
      </c>
      <c r="T177" s="20">
        <f t="shared" si="59"/>
        <v>117.60348419230409</v>
      </c>
      <c r="U177" s="20">
        <f t="shared" si="60"/>
        <v>0.86678719960104167</v>
      </c>
      <c r="V177" s="20">
        <f t="shared" si="61"/>
        <v>0.81964180368256467</v>
      </c>
      <c r="W177" s="20">
        <f t="shared" si="62"/>
        <v>0.24171077572437377</v>
      </c>
      <c r="X177" s="20">
        <f t="shared" si="63"/>
        <v>1182.7351274477885</v>
      </c>
      <c r="Y177" s="20">
        <f t="shared" si="64"/>
        <v>1.0027558366947248E-5</v>
      </c>
      <c r="Z177" s="25"/>
      <c r="AA177" s="20">
        <f t="shared" si="66"/>
        <v>1.1200068602501667E-3</v>
      </c>
      <c r="AB177" s="20">
        <f t="shared" si="67"/>
        <v>2.0374774413641383E-2</v>
      </c>
      <c r="AC177" s="20">
        <f t="shared" si="68"/>
        <v>2.5917198027499659</v>
      </c>
      <c r="AD177" s="20">
        <f t="shared" si="69"/>
        <v>4.1536391585599479E-3</v>
      </c>
      <c r="AE177" s="20">
        <f t="shared" si="70"/>
        <v>73.022679276748207</v>
      </c>
      <c r="AF177" s="20">
        <f t="shared" si="71"/>
        <v>1755.0261063725684</v>
      </c>
      <c r="AG177" s="20">
        <f t="shared" si="72"/>
        <v>2592.4471547382113</v>
      </c>
      <c r="AH177" s="20">
        <f t="shared" si="73"/>
        <v>32.480283155750882</v>
      </c>
      <c r="AI177" s="20">
        <f t="shared" si="74"/>
        <v>0</v>
      </c>
      <c r="AJ177" s="20">
        <v>50</v>
      </c>
      <c r="AK177" s="25"/>
      <c r="AL177" s="20">
        <f t="shared" si="75"/>
        <v>4505.593591766461</v>
      </c>
      <c r="AM177" s="25"/>
      <c r="AN177" s="20">
        <f t="shared" si="76"/>
        <v>595.67276286215872</v>
      </c>
      <c r="AO177" s="20">
        <f t="shared" si="77"/>
        <v>24.406408233538968</v>
      </c>
      <c r="AQ177" s="20">
        <f t="shared" si="78"/>
        <v>3.183680891072284E-6</v>
      </c>
      <c r="AR177" s="20">
        <v>536</v>
      </c>
      <c r="AS177" s="20">
        <f t="shared" si="79"/>
        <v>5.3877280868739441E-2</v>
      </c>
    </row>
    <row r="178" spans="2:45" x14ac:dyDescent="0.3">
      <c r="B178" s="32">
        <v>265</v>
      </c>
      <c r="C178" s="32">
        <v>4704</v>
      </c>
      <c r="D178" s="7">
        <f t="shared" si="65"/>
        <v>538</v>
      </c>
      <c r="E178" s="17">
        <f>1/$E$29-LN($E$29)+($J$16*EXP($J$16/($D$14*$J$15))/(($D$14*$J$15^2)*(1-1.05*($J$17^1.26))))*'F(T,E)'!F158</f>
        <v>575296.28973042162</v>
      </c>
      <c r="F178" s="17">
        <f>1/$F$29-LN($F$29)+($K$16*EXP($K$16/($D$14*$K$15))/(($D$14*$K$15^2)*(1-1.05*($K$17^1.26))))*'F(T,E)'!G158</f>
        <v>44811.135376243285</v>
      </c>
      <c r="G178" s="17">
        <f>1/$G$29-LN($G$29)+($L$16*EXP($L$16/($D$14*$L$15))/(($D$14*$L$15^2)*(1-1.05*($L$17^1.26))))*'F(T,E)'!H158</f>
        <v>2365.153732179559</v>
      </c>
      <c r="H178" s="17">
        <f>1/$H$29-LN($H$29)+($M$16*EXP($M$16/($D$14*$M$15))/(($D$14*$M$15^2)*(1-1.05*($M$17^1.26))))*'F(T,E)'!I158</f>
        <v>432.38206692114744</v>
      </c>
      <c r="I178" s="17">
        <f>1/$I$29-LN($I$29)+($N$16*EXP($N$16/($D$14*$N$15))/(($D$14*$N$15^2)*(1-1.05*($N$17^1.26))))*'F(T,E)'!J158</f>
        <v>147.95217618545635</v>
      </c>
      <c r="J178" s="17">
        <f>1/$J$29-LN($J$29)+($O$16*EXP($O$16/($D$14*$O$15))/(($D$14*$O$15^2)*(1-1.05*($O$17^1.26))))*'F(T,E)'!K158</f>
        <v>1.0999142810969025</v>
      </c>
      <c r="K178" s="17">
        <f>1/$K$29-LN($K$29)+($P$16*EXP($P$16/($D$14*$P$15))/(($D$14*$P$15^2)*(1-1.05*($P$17^1.26))))*'F(T,E)'!L158</f>
        <v>0.68763392306482873</v>
      </c>
      <c r="L178" s="17">
        <f>1/$L$29-LN($L$29)+($Q$16*EXP($Q$16/($D$14*$Q$15))/(($D$14*$Q$15^2)*(1-1.05*($Q$17^1.26))))*'F(T,E)'!M158</f>
        <v>-1.1773185748335055</v>
      </c>
      <c r="M178" s="17">
        <f>1/$M$29-LN($M$29)+($R$16*EXP($R$16/($D$14*$R$15))/(($D$14*$R$15^2)*(1-1.05*($R$17^1.26))))*'F(T,E)'!N158</f>
        <v>1226.317199143162</v>
      </c>
      <c r="N178" s="17">
        <f>1/$N$29-LN($N$29)+($S$16*EXP($S$16/($D$14*$S$15))/(($D$14*$S$15^2)*(1-1.05*($S$17^1.26))))*'F(T,E)'!O158</f>
        <v>-11.509750309757356</v>
      </c>
      <c r="O178" s="25"/>
      <c r="P178" s="20">
        <f t="shared" si="55"/>
        <v>575283.02710147481</v>
      </c>
      <c r="Q178" s="20">
        <f t="shared" si="56"/>
        <v>44800.425283802171</v>
      </c>
      <c r="R178" s="20">
        <f t="shared" si="57"/>
        <v>2357.3867761807442</v>
      </c>
      <c r="S178" s="20">
        <f t="shared" si="58"/>
        <v>426.32686059070369</v>
      </c>
      <c r="T178" s="20">
        <f t="shared" si="59"/>
        <v>142.98940564434417</v>
      </c>
      <c r="U178" s="20">
        <f t="shared" si="60"/>
        <v>1.0505758442045141</v>
      </c>
      <c r="V178" s="20">
        <f t="shared" si="61"/>
        <v>0.85007023112403857</v>
      </c>
      <c r="W178" s="20">
        <f t="shared" si="62"/>
        <v>0.2419023932072521</v>
      </c>
      <c r="X178" s="20">
        <f t="shared" si="63"/>
        <v>1219.208327978969</v>
      </c>
      <c r="Y178" s="20">
        <f t="shared" si="64"/>
        <v>1.0031701378038048E-5</v>
      </c>
      <c r="Z178" s="25"/>
      <c r="AA178" s="20">
        <f t="shared" si="66"/>
        <v>1.0212036258803034E-3</v>
      </c>
      <c r="AB178" s="20">
        <f t="shared" si="67"/>
        <v>1.8150943872854052E-2</v>
      </c>
      <c r="AC178" s="20">
        <f t="shared" si="68"/>
        <v>2.2873412956938854</v>
      </c>
      <c r="AD178" s="20">
        <f t="shared" si="69"/>
        <v>3.5478287391978065E-3</v>
      </c>
      <c r="AE178" s="20">
        <f t="shared" si="70"/>
        <v>59.053048999732241</v>
      </c>
      <c r="AF178" s="20">
        <f t="shared" si="71"/>
        <v>1515.7522805731933</v>
      </c>
      <c r="AG178" s="20">
        <f t="shared" si="72"/>
        <v>2953.4863936808401</v>
      </c>
      <c r="AH178" s="20">
        <f t="shared" si="73"/>
        <v>39.297256693709464</v>
      </c>
      <c r="AI178" s="20">
        <f t="shared" si="74"/>
        <v>0</v>
      </c>
      <c r="AJ178" s="20">
        <v>50</v>
      </c>
      <c r="AK178" s="25"/>
      <c r="AL178" s="20">
        <f t="shared" si="75"/>
        <v>4619.8990412194071</v>
      </c>
      <c r="AM178" s="25"/>
      <c r="AN178" s="20">
        <f t="shared" si="76"/>
        <v>7072.971267814989</v>
      </c>
      <c r="AO178" s="20">
        <f t="shared" si="77"/>
        <v>84.100958780592919</v>
      </c>
      <c r="AQ178" s="20">
        <f t="shared" si="78"/>
        <v>1.0970504665356374E-5</v>
      </c>
      <c r="AR178" s="20">
        <v>538</v>
      </c>
      <c r="AS178" s="20">
        <f t="shared" si="79"/>
        <v>0.17878605182949175</v>
      </c>
    </row>
    <row r="179" spans="2:45" x14ac:dyDescent="0.3">
      <c r="B179" s="32">
        <v>266</v>
      </c>
      <c r="C179" s="32">
        <v>4842</v>
      </c>
      <c r="D179" s="7">
        <f t="shared" si="65"/>
        <v>539</v>
      </c>
      <c r="E179" s="17">
        <f>1/$E$29-LN($E$29)+($J$16*EXP($J$16/($D$14*$J$15))/(($D$14*$J$15^2)*(1-1.05*($J$17^1.26))))*'F(T,E)'!F159</f>
        <v>600224.00338542531</v>
      </c>
      <c r="F179" s="17">
        <f>1/$F$29-LN($F$29)+($K$16*EXP($K$16/($D$14*$K$15))/(($D$14*$K$15^2)*(1-1.05*($K$17^1.26))))*'F(T,E)'!G159</f>
        <v>47292.215439870866</v>
      </c>
      <c r="G179" s="17">
        <f>1/$G$29-LN($G$29)+($L$16*EXP($L$16/($D$14*$L$15))/(($D$14*$L$15^2)*(1-1.05*($L$17^1.26))))*'F(T,E)'!H159</f>
        <v>2506.760748493195</v>
      </c>
      <c r="H179" s="17">
        <f>1/$H$29-LN($H$29)+($M$16*EXP($M$16/($D$14*$M$15))/(($D$14*$M$15^2)*(1-1.05*($M$17^1.26))))*'F(T,E)'!I159</f>
        <v>464.20392399887351</v>
      </c>
      <c r="I179" s="17">
        <f>1/$I$29-LN($I$29)+($N$16*EXP($N$16/($D$14*$N$15))/(($D$14*$N$15^2)*(1-1.05*($N$17^1.26))))*'F(T,E)'!J159</f>
        <v>162.540104954801</v>
      </c>
      <c r="J179" s="17">
        <f>1/$J$29-LN($J$29)+($O$16*EXP($O$16/($D$14*$O$15))/(($D$14*$O$15^2)*(1-1.05*($O$17^1.26))))*'F(T,E)'!K159</f>
        <v>1.3085325896762863</v>
      </c>
      <c r="K179" s="17">
        <f>1/$K$29-LN($K$29)+($P$16*EXP($P$16/($D$14*$P$15))/(($D$14*$P$15^2)*(1-1.05*($P$17^1.26))))*'F(T,E)'!L159</f>
        <v>0.72595146436672597</v>
      </c>
      <c r="L179" s="17">
        <f>1/$L$29-LN($L$29)+($Q$16*EXP($Q$16/($D$14*$Q$15))/(($D$14*$Q$15^2)*(1-1.05*($Q$17^1.26))))*'F(T,E)'!M159</f>
        <v>-1.1767514259777661</v>
      </c>
      <c r="M179" s="17">
        <f>1/$M$29-LN($M$29)+($R$16*EXP($R$16/($D$14*$R$15))/(($D$14*$R$15^2)*(1-1.05*($R$17^1.26))))*'F(T,E)'!N159</f>
        <v>1244.8840415540271</v>
      </c>
      <c r="N179" s="17">
        <f>1/$N$29-LN($N$29)+($S$16*EXP($S$16/($D$14*$S$15))/(($D$14*$S$15^2)*(1-1.05*($S$17^1.26))))*'F(T,E)'!O159</f>
        <v>-11.509522276902468</v>
      </c>
      <c r="O179" s="25"/>
      <c r="P179" s="20">
        <f t="shared" si="55"/>
        <v>600210.69833830523</v>
      </c>
      <c r="Q179" s="20">
        <f t="shared" si="56"/>
        <v>47281.45145269252</v>
      </c>
      <c r="R179" s="20">
        <f t="shared" si="57"/>
        <v>2498.9355629605557</v>
      </c>
      <c r="S179" s="20">
        <f t="shared" si="58"/>
        <v>458.07688695340471</v>
      </c>
      <c r="T179" s="20">
        <f t="shared" si="59"/>
        <v>157.48080139983924</v>
      </c>
      <c r="U179" s="20">
        <f t="shared" si="60"/>
        <v>1.1600604628069422</v>
      </c>
      <c r="V179" s="20">
        <f t="shared" si="61"/>
        <v>0.86777466496545497</v>
      </c>
      <c r="W179" s="20">
        <f t="shared" si="62"/>
        <v>0.24201288489544698</v>
      </c>
      <c r="X179" s="20">
        <f t="shared" si="63"/>
        <v>1237.7601063231223</v>
      </c>
      <c r="Y179" s="20">
        <f t="shared" si="64"/>
        <v>1.0033989173425917E-5</v>
      </c>
      <c r="Z179" s="25"/>
      <c r="AA179" s="20">
        <f t="shared" si="66"/>
        <v>9.7535309017169421E-4</v>
      </c>
      <c r="AB179" s="20">
        <f t="shared" si="67"/>
        <v>1.7137006890117892E-2</v>
      </c>
      <c r="AC179" s="20">
        <f t="shared" si="68"/>
        <v>2.1496163644712309</v>
      </c>
      <c r="AD179" s="20">
        <f t="shared" si="69"/>
        <v>3.2820516741758651E-3</v>
      </c>
      <c r="AE179" s="20">
        <f t="shared" si="70"/>
        <v>53.199690163047741</v>
      </c>
      <c r="AF179" s="20">
        <f t="shared" si="71"/>
        <v>1396.8072591512509</v>
      </c>
      <c r="AG179" s="20">
        <f t="shared" si="72"/>
        <v>3139.4524316132265</v>
      </c>
      <c r="AH179" s="20">
        <f t="shared" si="73"/>
        <v>43.198698142698689</v>
      </c>
      <c r="AI179" s="20">
        <f t="shared" si="74"/>
        <v>0</v>
      </c>
      <c r="AJ179" s="20">
        <v>50</v>
      </c>
      <c r="AK179" s="25"/>
      <c r="AL179" s="20">
        <f t="shared" si="75"/>
        <v>4684.8290898463501</v>
      </c>
      <c r="AM179" s="25"/>
      <c r="AN179" s="20">
        <f t="shared" si="76"/>
        <v>24702.694998526676</v>
      </c>
      <c r="AO179" s="20">
        <f t="shared" si="77"/>
        <v>157.17091015364986</v>
      </c>
      <c r="AQ179" s="20">
        <f t="shared" si="78"/>
        <v>2.0502075459058962E-5</v>
      </c>
      <c r="AR179" s="20">
        <v>539</v>
      </c>
      <c r="AS179" s="20">
        <f t="shared" si="79"/>
        <v>0.32459915355978908</v>
      </c>
    </row>
    <row r="180" spans="2:45" x14ac:dyDescent="0.3">
      <c r="B180" s="32">
        <v>268</v>
      </c>
      <c r="C180" s="32">
        <v>5054</v>
      </c>
      <c r="D180" s="7">
        <f t="shared" si="65"/>
        <v>541</v>
      </c>
      <c r="E180" s="17">
        <f>1/$E$29-LN($E$29)+($J$16*EXP($J$16/($D$14*$J$15))/(($D$14*$J$15^2)*(1-1.05*($J$17^1.26))))*'F(T,E)'!F160</f>
        <v>653071.22129688843</v>
      </c>
      <c r="F180" s="17">
        <f>1/$F$29-LN($F$29)+($K$16*EXP($K$16/($D$14*$K$15))/(($D$14*$K$15^2)*(1-1.05*($K$17^1.26))))*'F(T,E)'!G160</f>
        <v>52643.570801308859</v>
      </c>
      <c r="G180" s="17">
        <f>1/$G$29-LN($G$29)+($L$16*EXP($L$16/($D$14*$L$15))/(($D$14*$L$15^2)*(1-1.05*($L$17^1.26))))*'F(T,E)'!H160</f>
        <v>2814.1218537437162</v>
      </c>
      <c r="H180" s="17">
        <f>1/$H$29-LN($H$29)+($M$16*EXP($M$16/($D$14*$M$15))/(($D$14*$M$15^2)*(1-1.05*($M$17^1.26))))*'F(T,E)'!I160</f>
        <v>534.44605514623049</v>
      </c>
      <c r="I180" s="17">
        <f>1/$I$29-LN($I$29)+($N$16*EXP($N$16/($D$14*$N$15))/(($D$14*$N$15^2)*(1-1.05*($N$17^1.26))))*'F(T,E)'!J160</f>
        <v>195.85278334041513</v>
      </c>
      <c r="J180" s="17">
        <f>1/$J$29-LN($J$29)+($O$16*EXP($O$16/($D$14*$O$15))/(($D$14*$O$15^2)*(1-1.05*($O$17^1.26))))*'F(T,E)'!K160</f>
        <v>1.7716780221929611</v>
      </c>
      <c r="K180" s="17">
        <f>1/$K$29-LN($K$29)+($P$16*EXP($P$16/($D$14*$P$15))/(($D$14*$P$15^2)*(1-1.05*($P$17^1.26))))*'F(T,E)'!L160</f>
        <v>0.81387273334823385</v>
      </c>
      <c r="L180" s="17">
        <f>1/$L$29-LN($L$29)+($Q$16*EXP($Q$16/($D$14*$Q$15))/(($D$14*$Q$15^2)*(1-1.05*($Q$17^1.26))))*'F(T,E)'!M160</f>
        <v>-1.1754421453396451</v>
      </c>
      <c r="M180" s="17">
        <f>1/$M$29-LN($M$29)+($R$16*EXP($R$16/($D$14*$R$15))/(($D$14*$R$15^2)*(1-1.05*($R$17^1.26))))*'F(T,E)'!N160</f>
        <v>1282.6556623056708</v>
      </c>
      <c r="N180" s="17">
        <f>1/$N$29-LN($N$29)+($S$16*EXP($S$16/($D$14*$S$15))/(($D$14*$S$15^2)*(1-1.05*($S$17^1.26))))*'F(T,E)'!O160</f>
        <v>-11.509018512384742</v>
      </c>
      <c r="O180" s="25"/>
      <c r="P180" s="20">
        <f t="shared" si="55"/>
        <v>653057.83186566946</v>
      </c>
      <c r="Q180" s="20">
        <f t="shared" si="56"/>
        <v>52632.699605164606</v>
      </c>
      <c r="R180" s="20">
        <f t="shared" si="57"/>
        <v>2806.1808593737419</v>
      </c>
      <c r="S180" s="20">
        <f t="shared" si="58"/>
        <v>528.17662440254833</v>
      </c>
      <c r="T180" s="20">
        <f t="shared" si="59"/>
        <v>190.60259274621194</v>
      </c>
      <c r="U180" s="20">
        <f t="shared" si="60"/>
        <v>1.4205992397633405</v>
      </c>
      <c r="V180" s="20">
        <f t="shared" si="61"/>
        <v>0.90913472110181637</v>
      </c>
      <c r="W180" s="20">
        <f t="shared" si="62"/>
        <v>0.2422681135462342</v>
      </c>
      <c r="X180" s="20">
        <f t="shared" si="63"/>
        <v>1275.5017641550169</v>
      </c>
      <c r="Y180" s="20">
        <f t="shared" si="64"/>
        <v>1.0039045163805555E-5</v>
      </c>
      <c r="Z180" s="25"/>
      <c r="AA180" s="20">
        <f t="shared" si="66"/>
        <v>8.9015655620010856E-4</v>
      </c>
      <c r="AB180" s="20">
        <f t="shared" si="67"/>
        <v>1.5285125426052228E-2</v>
      </c>
      <c r="AC180" s="20">
        <f t="shared" si="68"/>
        <v>1.8999066483298452</v>
      </c>
      <c r="AD180" s="20">
        <f t="shared" si="69"/>
        <v>2.8137184823833631E-3</v>
      </c>
      <c r="AE180" s="20">
        <f t="shared" si="70"/>
        <v>43.314412661599739</v>
      </c>
      <c r="AF180" s="20">
        <f t="shared" si="71"/>
        <v>1168.5767054212433</v>
      </c>
      <c r="AG180" s="20">
        <f t="shared" si="72"/>
        <v>3514.7624517960835</v>
      </c>
      <c r="AH180" s="20">
        <f t="shared" si="73"/>
        <v>52.138181756134514</v>
      </c>
      <c r="AI180" s="20">
        <f t="shared" si="74"/>
        <v>0</v>
      </c>
      <c r="AJ180" s="20">
        <v>50</v>
      </c>
      <c r="AK180" s="25"/>
      <c r="AL180" s="20">
        <f t="shared" si="75"/>
        <v>4830.710647283855</v>
      </c>
      <c r="AM180" s="25"/>
      <c r="AN180" s="20">
        <f t="shared" si="76"/>
        <v>49858.135036395011</v>
      </c>
      <c r="AO180" s="20">
        <f t="shared" si="77"/>
        <v>223.289352716145</v>
      </c>
      <c r="AQ180" s="20">
        <f t="shared" si="78"/>
        <v>2.9126860397483856E-5</v>
      </c>
      <c r="AR180" s="20">
        <v>541</v>
      </c>
      <c r="AS180" s="20">
        <f t="shared" si="79"/>
        <v>0.44180718780400674</v>
      </c>
    </row>
    <row r="181" spans="2:45" x14ac:dyDescent="0.3">
      <c r="B181" s="32">
        <v>269</v>
      </c>
      <c r="C181" s="32">
        <v>5106</v>
      </c>
      <c r="D181" s="7">
        <f t="shared" si="65"/>
        <v>542</v>
      </c>
      <c r="E181" s="17">
        <f>1/$E$29-LN($E$29)+($J$16*EXP($J$16/($D$14*$J$15))/(($D$14*$J$15^2)*(1-1.05*($J$17^1.26))))*'F(T,E)'!F161</f>
        <v>681062.01842620189</v>
      </c>
      <c r="F181" s="17">
        <f>1/$F$29-LN($F$29)+($K$16*EXP($K$16/($D$14*$K$15))/(($D$14*$K$15^2)*(1-1.05*($K$17^1.26))))*'F(T,E)'!G161</f>
        <v>55526.236726105526</v>
      </c>
      <c r="G181" s="17">
        <f>1/$G$29-LN($G$29)+($L$16*EXP($L$16/($D$14*$L$15))/(($D$14*$L$15^2)*(1-1.05*($L$17^1.26))))*'F(T,E)'!H161</f>
        <v>2980.7161525030697</v>
      </c>
      <c r="H181" s="17">
        <f>1/$H$29-LN($H$29)+($M$16*EXP($M$16/($D$14*$M$15))/(($D$14*$M$15^2)*(1-1.05*($M$17^1.26))))*'F(T,E)'!I161</f>
        <v>573.14843750510113</v>
      </c>
      <c r="I181" s="17">
        <f>1/$I$29-LN($I$29)+($N$16*EXP($N$16/($D$14*$N$15))/(($D$14*$N$15^2)*(1-1.05*($N$17^1.26))))*'F(T,E)'!J161</f>
        <v>214.82211404645386</v>
      </c>
      <c r="J181" s="17">
        <f>1/$J$29-LN($J$29)+($O$16*EXP($O$16/($D$14*$O$15))/(($D$14*$O$15^2)*(1-1.05*($O$17^1.26))))*'F(T,E)'!K161</f>
        <v>2.0282936279730039</v>
      </c>
      <c r="K181" s="17">
        <f>1/$K$29-LN($K$29)+($P$16*EXP($P$16/($D$14*$P$15))/(($D$14*$P$15^2)*(1-1.05*($P$17^1.26))))*'F(T,E)'!L161</f>
        <v>0.86417018717838134</v>
      </c>
      <c r="L181" s="17">
        <f>1/$L$29-LN($L$29)+($Q$16*EXP($Q$16/($D$14*$Q$15))/(($D$14*$Q$15^2)*(1-1.05*($Q$17^1.26))))*'F(T,E)'!M161</f>
        <v>-1.1746887354262281</v>
      </c>
      <c r="M181" s="17">
        <f>1/$M$29-LN($M$29)+($R$16*EXP($R$16/($D$14*$R$15))/(($D$14*$R$15^2)*(1-1.05*($R$17^1.26))))*'F(T,E)'!N161</f>
        <v>1301.8635472886315</v>
      </c>
      <c r="N181" s="17">
        <f>1/$N$29-LN($N$29)+($S$16*EXP($S$16/($D$14*$S$15))/(($D$14*$S$15^2)*(1-1.05*($S$17^1.26))))*'F(T,E)'!O161</f>
        <v>-11.508740722689698</v>
      </c>
      <c r="O181" s="25"/>
      <c r="P181" s="20">
        <f t="shared" si="55"/>
        <v>681048.58702741191</v>
      </c>
      <c r="Q181" s="20">
        <f t="shared" si="56"/>
        <v>55515.312213557103</v>
      </c>
      <c r="R181" s="20">
        <f t="shared" si="57"/>
        <v>2972.7175755785815</v>
      </c>
      <c r="S181" s="20">
        <f t="shared" si="58"/>
        <v>566.80841614886117</v>
      </c>
      <c r="T181" s="20">
        <f t="shared" si="59"/>
        <v>209.47749772230057</v>
      </c>
      <c r="U181" s="20">
        <f t="shared" si="60"/>
        <v>1.5744118524515358</v>
      </c>
      <c r="V181" s="20">
        <f t="shared" si="61"/>
        <v>0.93325113364184387</v>
      </c>
      <c r="W181" s="20">
        <f t="shared" si="62"/>
        <v>0.24241508001456838</v>
      </c>
      <c r="X181" s="20">
        <f t="shared" si="63"/>
        <v>1294.6947496146395</v>
      </c>
      <c r="Y181" s="20">
        <f t="shared" si="64"/>
        <v>1.0041834266470379E-5</v>
      </c>
      <c r="Z181" s="25"/>
      <c r="AA181" s="20">
        <f t="shared" si="66"/>
        <v>8.5059077887644351E-4</v>
      </c>
      <c r="AB181" s="20">
        <f t="shared" si="67"/>
        <v>1.443996919453743E-2</v>
      </c>
      <c r="AC181" s="20">
        <f t="shared" si="68"/>
        <v>1.7867813392578893</v>
      </c>
      <c r="AD181" s="20">
        <f t="shared" si="69"/>
        <v>2.6074205638324834E-3</v>
      </c>
      <c r="AE181" s="20">
        <f t="shared" si="70"/>
        <v>39.141162162487532</v>
      </c>
      <c r="AF181" s="20">
        <f t="shared" si="71"/>
        <v>1061.8757252641014</v>
      </c>
      <c r="AG181" s="20">
        <f t="shared" si="72"/>
        <v>3700.3577042803167</v>
      </c>
      <c r="AH181" s="20">
        <f t="shared" si="73"/>
        <v>57.243959360600549</v>
      </c>
      <c r="AI181" s="20">
        <f t="shared" si="74"/>
        <v>0</v>
      </c>
      <c r="AJ181" s="20">
        <v>50</v>
      </c>
      <c r="AK181" s="25"/>
      <c r="AL181" s="20">
        <f t="shared" si="75"/>
        <v>4910.4232303873014</v>
      </c>
      <c r="AM181" s="25"/>
      <c r="AN181" s="20">
        <f t="shared" si="76"/>
        <v>38250.272812138595</v>
      </c>
      <c r="AO181" s="20">
        <f t="shared" si="77"/>
        <v>195.57676961269863</v>
      </c>
      <c r="AQ181" s="20">
        <f t="shared" si="78"/>
        <v>2.551190729072343E-5</v>
      </c>
      <c r="AR181" s="20">
        <v>542</v>
      </c>
      <c r="AS181" s="20">
        <f t="shared" si="79"/>
        <v>0.3830332346508003</v>
      </c>
    </row>
    <row r="182" spans="2:45" x14ac:dyDescent="0.3">
      <c r="B182" s="32">
        <v>271</v>
      </c>
      <c r="C182" s="32">
        <v>5210</v>
      </c>
      <c r="D182" s="7">
        <f t="shared" si="65"/>
        <v>544</v>
      </c>
      <c r="E182" s="17">
        <f>1/$E$29-LN($E$29)+($J$16*EXP($J$16/($D$14*$J$15))/(($D$14*$J$15^2)*(1-1.05*($J$17^1.26))))*'F(T,E)'!F162</f>
        <v>740364.6915536247</v>
      </c>
      <c r="F182" s="17">
        <f>1/$F$29-LN($F$29)+($K$16*EXP($K$16/($D$14*$K$15))/(($D$14*$K$15^2)*(1-1.05*($K$17^1.26))))*'F(T,E)'!G162</f>
        <v>61738.555392029157</v>
      </c>
      <c r="G182" s="17">
        <f>1/$G$29-LN($G$29)+($L$16*EXP($L$16/($D$14*$L$15))/(($D$14*$L$15^2)*(1-1.05*($L$17^1.26))))*'F(T,E)'!H162</f>
        <v>3341.9847583328497</v>
      </c>
      <c r="H182" s="17">
        <f>1/$H$29-LN($H$29)+($M$16*EXP($M$16/($D$14*$M$15))/(($D$14*$M$15^2)*(1-1.05*($M$17^1.26))))*'F(T,E)'!I162</f>
        <v>658.48487216643821</v>
      </c>
      <c r="I182" s="17">
        <f>1/$I$29-LN($I$29)+($N$16*EXP($N$16/($D$14*$N$15))/(($D$14*$N$15^2)*(1-1.05*($N$17^1.26))))*'F(T,E)'!J162</f>
        <v>258.0762844708683</v>
      </c>
      <c r="J182" s="17">
        <f>1/$J$29-LN($J$29)+($O$16*EXP($O$16/($D$14*$O$15))/(($D$14*$O$15^2)*(1-1.05*($O$17^1.26))))*'F(T,E)'!K162</f>
        <v>2.5973363676912857</v>
      </c>
      <c r="K182" s="17">
        <f>1/$K$29-LN($K$29)+($P$16*EXP($P$16/($D$14*$P$15))/(($D$14*$P$15^2)*(1-1.05*($P$17^1.26))))*'F(T,E)'!L162</f>
        <v>0.97940377984927807</v>
      </c>
      <c r="L182" s="17">
        <f>1/$L$29-LN($L$29)+($Q$16*EXP($Q$16/($D$14*$Q$15))/(($D$14*$Q$15^2)*(1-1.05*($Q$17^1.26))))*'F(T,E)'!M162</f>
        <v>-1.1729522375356476</v>
      </c>
      <c r="M182" s="17">
        <f>1/$M$29-LN($M$29)+($R$16*EXP($R$16/($D$14*$R$15))/(($D$14*$R$15^2)*(1-1.05*($R$17^1.26))))*'F(T,E)'!N162</f>
        <v>1340.931252239548</v>
      </c>
      <c r="N182" s="17">
        <f>1/$N$29-LN($N$29)+($S$16*EXP($S$16/($D$14*$S$15))/(($D$14*$S$15^2)*(1-1.05*($S$17^1.26))))*'F(T,E)'!O162</f>
        <v>-11.50812771357832</v>
      </c>
      <c r="O182" s="25"/>
      <c r="P182" s="20">
        <f t="shared" si="55"/>
        <v>740351.17666458164</v>
      </c>
      <c r="Q182" s="20">
        <f t="shared" si="56"/>
        <v>61727.524817463302</v>
      </c>
      <c r="R182" s="20">
        <f t="shared" si="57"/>
        <v>3333.8716521815277</v>
      </c>
      <c r="S182" s="20">
        <f t="shared" si="58"/>
        <v>652.00482021157632</v>
      </c>
      <c r="T182" s="20">
        <f t="shared" si="59"/>
        <v>252.54469622307332</v>
      </c>
      <c r="U182" s="20">
        <f t="shared" si="60"/>
        <v>1.9364697624018987</v>
      </c>
      <c r="V182" s="20">
        <f t="shared" si="61"/>
        <v>0.98972844813828975</v>
      </c>
      <c r="W182" s="20">
        <f t="shared" si="62"/>
        <v>0.2427540891810186</v>
      </c>
      <c r="X182" s="20">
        <f t="shared" si="63"/>
        <v>1333.7328177424904</v>
      </c>
      <c r="Y182" s="20">
        <f t="shared" si="64"/>
        <v>1.0047991827646236E-5</v>
      </c>
      <c r="Z182" s="25"/>
      <c r="AA182" s="20">
        <f t="shared" si="66"/>
        <v>7.7701859900332858E-4</v>
      </c>
      <c r="AB182" s="20">
        <f t="shared" si="67"/>
        <v>1.2894923457517268E-2</v>
      </c>
      <c r="AC182" s="20">
        <f t="shared" si="68"/>
        <v>1.5814357309025249</v>
      </c>
      <c r="AD182" s="20">
        <f t="shared" si="69"/>
        <v>2.2425831977324873E-3</v>
      </c>
      <c r="AE182" s="20">
        <f t="shared" si="70"/>
        <v>32.047578240411219</v>
      </c>
      <c r="AF182" s="20">
        <f t="shared" si="71"/>
        <v>867.644236220111</v>
      </c>
      <c r="AG182" s="20">
        <f t="shared" si="72"/>
        <v>4056.281106180541</v>
      </c>
      <c r="AH182" s="20">
        <f t="shared" si="73"/>
        <v>68.917632245707978</v>
      </c>
      <c r="AI182" s="20">
        <f t="shared" si="74"/>
        <v>0</v>
      </c>
      <c r="AJ182" s="20">
        <v>50</v>
      </c>
      <c r="AK182" s="25"/>
      <c r="AL182" s="20">
        <f t="shared" si="75"/>
        <v>5076.4879031429282</v>
      </c>
      <c r="AM182" s="25"/>
      <c r="AN182" s="20">
        <f t="shared" si="76"/>
        <v>17825.480007172126</v>
      </c>
      <c r="AO182" s="20">
        <f t="shared" si="77"/>
        <v>133.51209685707181</v>
      </c>
      <c r="AQ182" s="20">
        <f t="shared" si="78"/>
        <v>1.7415914190386266E-5</v>
      </c>
      <c r="AR182" s="20">
        <v>544</v>
      </c>
      <c r="AS182" s="20">
        <f t="shared" si="79"/>
        <v>0.25626122237441806</v>
      </c>
    </row>
    <row r="183" spans="2:45" x14ac:dyDescent="0.3">
      <c r="B183" s="32">
        <v>272</v>
      </c>
      <c r="C183" s="32">
        <v>5230</v>
      </c>
      <c r="D183" s="7">
        <f t="shared" si="65"/>
        <v>545</v>
      </c>
      <c r="E183" s="17">
        <f>1/$E$29-LN($E$29)+($J$16*EXP($J$16/($D$14*$J$15))/(($D$14*$J$15^2)*(1-1.05*($J$17^1.26))))*'F(T,E)'!F163</f>
        <v>771754.76544560667</v>
      </c>
      <c r="F183" s="17">
        <f>1/$F$29-LN($F$29)+($K$16*EXP($K$16/($D$14*$K$15))/(($D$14*$K$15^2)*(1-1.05*($K$17^1.26))))*'F(T,E)'!G163</f>
        <v>65082.270395821062</v>
      </c>
      <c r="G183" s="17">
        <f>1/$G$29-LN($G$29)+($L$16*EXP($L$16/($D$14*$L$15))/(($D$14*$L$15^2)*(1-1.05*($L$17^1.26))))*'F(T,E)'!H163</f>
        <v>3537.6245803293891</v>
      </c>
      <c r="H183" s="17">
        <f>1/$H$29-LN($H$29)+($M$16*EXP($M$16/($D$14*$M$15))/(($D$14*$M$15^2)*(1-1.05*($M$17^1.26))))*'F(T,E)'!I163</f>
        <v>705.45402660991635</v>
      </c>
      <c r="I183" s="17">
        <f>1/$I$29-LN($I$29)+($N$16*EXP($N$16/($D$14*$N$15))/(($D$14*$N$15^2)*(1-1.05*($N$17^1.26))))*'F(T,E)'!J163</f>
        <v>282.67165523950672</v>
      </c>
      <c r="J183" s="17">
        <f>1/$J$29-LN($J$29)+($O$16*EXP($O$16/($D$14*$O$15))/(($D$14*$O$15^2)*(1-1.05*($O$17^1.26))))*'F(T,E)'!K163</f>
        <v>2.9122724489896932</v>
      </c>
      <c r="K183" s="17">
        <f>1/$K$29-LN($K$29)+($P$16*EXP($P$16/($D$14*$P$15))/(($D$14*$P$15^2)*(1-1.05*($P$17^1.26))))*'F(T,E)'!L163</f>
        <v>1.0452289982336462</v>
      </c>
      <c r="L183" s="17">
        <f>1/$L$29-LN($L$29)+($Q$16*EXP($Q$16/($D$14*$Q$15))/(($D$14*$Q$15^2)*(1-1.05*($Q$17^1.26))))*'F(T,E)'!M163</f>
        <v>-1.17195452272656</v>
      </c>
      <c r="M183" s="17">
        <f>1/$M$29-LN($M$29)+($R$16*EXP($R$16/($D$14*$R$15))/(($D$14*$R$15^2)*(1-1.05*($R$17^1.26))))*'F(T,E)'!N163</f>
        <v>1360.7941939180519</v>
      </c>
      <c r="N183" s="17">
        <f>1/$N$29-LN($N$29)+($S$16*EXP($S$16/($D$14*$S$15))/(($D$14*$S$15^2)*(1-1.05*($S$17^1.26))))*'F(T,E)'!O163</f>
        <v>-11.507790045564487</v>
      </c>
      <c r="O183" s="25"/>
      <c r="P183" s="20">
        <f t="shared" si="55"/>
        <v>771741.20903227234</v>
      </c>
      <c r="Q183" s="20">
        <f t="shared" si="56"/>
        <v>65071.187073523317</v>
      </c>
      <c r="R183" s="20">
        <f t="shared" si="57"/>
        <v>3529.454524471781</v>
      </c>
      <c r="S183" s="20">
        <f t="shared" si="58"/>
        <v>698.899833671941</v>
      </c>
      <c r="T183" s="20">
        <f t="shared" si="59"/>
        <v>277.04746638919386</v>
      </c>
      <c r="U183" s="20">
        <f t="shared" si="60"/>
        <v>2.1478193686747926</v>
      </c>
      <c r="V183" s="20">
        <f t="shared" si="61"/>
        <v>1.0227418697949986</v>
      </c>
      <c r="W183" s="20">
        <f t="shared" si="62"/>
        <v>0.24294904133731191</v>
      </c>
      <c r="X183" s="20">
        <f t="shared" si="63"/>
        <v>1353.5810214717492</v>
      </c>
      <c r="Y183" s="20">
        <f t="shared" si="64"/>
        <v>1.0051385251879998E-5</v>
      </c>
      <c r="Z183" s="25"/>
      <c r="AA183" s="20">
        <f t="shared" si="66"/>
        <v>7.4282610956005843E-4</v>
      </c>
      <c r="AB183" s="20">
        <f t="shared" si="67"/>
        <v>1.2189138893172767E-2</v>
      </c>
      <c r="AC183" s="20">
        <f t="shared" si="68"/>
        <v>1.4883003607053682</v>
      </c>
      <c r="AD183" s="20">
        <f t="shared" si="69"/>
        <v>2.0813441474818724E-3</v>
      </c>
      <c r="AE183" s="20">
        <f t="shared" si="70"/>
        <v>29.03444220635301</v>
      </c>
      <c r="AF183" s="20">
        <f t="shared" si="71"/>
        <v>781.01807282342872</v>
      </c>
      <c r="AG183" s="20">
        <f t="shared" si="72"/>
        <v>4221.5378079094153</v>
      </c>
      <c r="AH183" s="20">
        <f t="shared" si="73"/>
        <v>75.570588226606702</v>
      </c>
      <c r="AI183" s="20">
        <f t="shared" si="74"/>
        <v>0</v>
      </c>
      <c r="AJ183" s="20">
        <v>50</v>
      </c>
      <c r="AK183" s="25"/>
      <c r="AL183" s="20">
        <f t="shared" si="75"/>
        <v>5158.6642248356593</v>
      </c>
      <c r="AM183" s="25"/>
      <c r="AN183" s="20">
        <f t="shared" si="76"/>
        <v>5088.7928182973674</v>
      </c>
      <c r="AO183" s="20">
        <f t="shared" si="77"/>
        <v>71.335775164340703</v>
      </c>
      <c r="AQ183" s="20">
        <f t="shared" si="78"/>
        <v>9.3053571040595897E-6</v>
      </c>
      <c r="AR183" s="20">
        <v>545</v>
      </c>
      <c r="AS183" s="20">
        <f t="shared" si="79"/>
        <v>0.136397275648835</v>
      </c>
    </row>
    <row r="184" spans="2:45" x14ac:dyDescent="0.3">
      <c r="B184" s="32">
        <v>274</v>
      </c>
      <c r="C184" s="32">
        <v>5328</v>
      </c>
      <c r="D184" s="7">
        <f t="shared" si="65"/>
        <v>547</v>
      </c>
      <c r="E184" s="17">
        <f>1/$E$29-LN($E$29)+($J$16*EXP($J$16/($D$14*$J$15))/(($D$14*$J$15^2)*(1-1.05*($J$17^1.26))))*'F(T,E)'!F164</f>
        <v>838217.05501964816</v>
      </c>
      <c r="F184" s="17">
        <f>1/$F$29-LN($F$29)+($K$16*EXP($K$16/($D$14*$K$15))/(($D$14*$K$15^2)*(1-1.05*($K$17^1.26))))*'F(T,E)'!G164</f>
        <v>72282.246862764368</v>
      </c>
      <c r="G184" s="17">
        <f>1/$G$29-LN($G$29)+($L$16*EXP($L$16/($D$14*$L$15))/(($D$14*$L$15^2)*(1-1.05*($L$17^1.26))))*'F(T,E)'!H164</f>
        <v>3961.5015490189007</v>
      </c>
      <c r="H184" s="17">
        <f>1/$H$29-LN($H$29)+($M$16*EXP($M$16/($D$14*$M$15))/(($D$14*$M$15^2)*(1-1.05*($M$17^1.26))))*'F(T,E)'!I164</f>
        <v>808.90677905288521</v>
      </c>
      <c r="I184" s="17">
        <f>1/$I$29-LN($I$29)+($N$16*EXP($N$16/($D$14*$N$15))/(($D$14*$N$15^2)*(1-1.05*($N$17^1.26))))*'F(T,E)'!J164</f>
        <v>338.67320469988653</v>
      </c>
      <c r="J184" s="17">
        <f>1/$J$29-LN($J$29)+($O$16*EXP($O$16/($D$14*$O$15))/(($D$14*$O$15^2)*(1-1.05*($O$17^1.26))))*'F(T,E)'!K164</f>
        <v>3.609845091106008</v>
      </c>
      <c r="K184" s="17">
        <f>1/$K$29-LN($K$29)+($P$16*EXP($P$16/($D$14*$P$15))/(($D$14*$P$15^2)*(1-1.05*($P$17^1.26))))*'F(T,E)'!L164</f>
        <v>1.1958110525273833</v>
      </c>
      <c r="L184" s="17">
        <f>1/$L$29-LN($L$29)+($Q$16*EXP($Q$16/($D$14*$Q$15))/(($D$14*$Q$15^2)*(1-1.05*($Q$17^1.26))))*'F(T,E)'!M164</f>
        <v>-1.1696585426895176</v>
      </c>
      <c r="M184" s="17">
        <f>1/$M$29-LN($M$29)+($R$16*EXP($R$16/($D$14*$R$15))/(($D$14*$R$15^2)*(1-1.05*($R$17^1.26))))*'F(T,E)'!N164</f>
        <v>1401.1860777064908</v>
      </c>
      <c r="N184" s="17">
        <f>1/$N$29-LN($N$29)+($S$16*EXP($S$16/($D$14*$S$15))/(($D$14*$S$15^2)*(1-1.05*($S$17^1.26))))*'F(T,E)'!O164</f>
        <v>-11.507045709068858</v>
      </c>
      <c r="O184" s="25"/>
      <c r="P184" s="20">
        <f t="shared" si="55"/>
        <v>838203.4159954224</v>
      </c>
      <c r="Q184" s="20">
        <f t="shared" si="56"/>
        <v>72271.058606327977</v>
      </c>
      <c r="R184" s="20">
        <f t="shared" si="57"/>
        <v>3953.2182162183785</v>
      </c>
      <c r="S184" s="20">
        <f t="shared" si="58"/>
        <v>802.21523409624024</v>
      </c>
      <c r="T184" s="20">
        <f t="shared" si="59"/>
        <v>332.86546629665327</v>
      </c>
      <c r="U184" s="20">
        <f t="shared" si="60"/>
        <v>2.6393227434361397</v>
      </c>
      <c r="V184" s="20">
        <f t="shared" si="61"/>
        <v>1.1002623768009614</v>
      </c>
      <c r="W184" s="20">
        <f t="shared" si="62"/>
        <v>0.24339815125779363</v>
      </c>
      <c r="X184" s="20">
        <f t="shared" si="63"/>
        <v>1393.9435886874585</v>
      </c>
      <c r="Y184" s="20">
        <f t="shared" si="64"/>
        <v>1.0058869574580502E-5</v>
      </c>
      <c r="Z184" s="25"/>
      <c r="AA184" s="20">
        <f t="shared" si="66"/>
        <v>6.7919990022673735E-4</v>
      </c>
      <c r="AB184" s="20">
        <f t="shared" si="67"/>
        <v>1.0897707074196841E-2</v>
      </c>
      <c r="AC184" s="20">
        <f t="shared" si="68"/>
        <v>1.3190521330889584</v>
      </c>
      <c r="AD184" s="20">
        <f t="shared" si="69"/>
        <v>1.7952461821509587E-3</v>
      </c>
      <c r="AE184" s="20">
        <f t="shared" si="70"/>
        <v>23.885447108424668</v>
      </c>
      <c r="AF184" s="20">
        <f t="shared" si="71"/>
        <v>629.23590018838968</v>
      </c>
      <c r="AG184" s="20">
        <f t="shared" si="72"/>
        <v>4512.9548776604661</v>
      </c>
      <c r="AH184" s="20">
        <f t="shared" si="73"/>
        <v>90.74624731862653</v>
      </c>
      <c r="AI184" s="20">
        <f t="shared" si="74"/>
        <v>0</v>
      </c>
      <c r="AJ184" s="20">
        <v>50</v>
      </c>
      <c r="AK184" s="25"/>
      <c r="AL184" s="20">
        <f t="shared" si="75"/>
        <v>5308.1548965621532</v>
      </c>
      <c r="AM184" s="25"/>
      <c r="AN184" s="20">
        <f t="shared" si="76"/>
        <v>393.82813045883785</v>
      </c>
      <c r="AO184" s="20">
        <f t="shared" si="77"/>
        <v>19.845103437846774</v>
      </c>
      <c r="AQ184" s="20">
        <f t="shared" si="78"/>
        <v>2.5886839223480609E-6</v>
      </c>
      <c r="AR184" s="20">
        <v>547</v>
      </c>
      <c r="AS184" s="20">
        <f t="shared" si="79"/>
        <v>3.7246815761724429E-2</v>
      </c>
    </row>
    <row r="185" spans="2:45" x14ac:dyDescent="0.3">
      <c r="B185" s="32">
        <v>275</v>
      </c>
      <c r="C185" s="32">
        <v>5370</v>
      </c>
      <c r="D185" s="7">
        <f t="shared" si="65"/>
        <v>548</v>
      </c>
      <c r="E185" s="17">
        <f>1/$E$29-LN($E$29)+($J$16*EXP($J$16/($D$14*$J$15))/(($D$14*$J$15^2)*(1-1.05*($J$17^1.26))))*'F(T,E)'!F165</f>
        <v>873374.94399890292</v>
      </c>
      <c r="F185" s="17">
        <f>1/$F$29-LN($F$29)+($K$16*EXP($K$16/($D$14*$K$15))/(($D$14*$K$15^2)*(1-1.05*($K$17^1.26))))*'F(T,E)'!G165</f>
        <v>76154.443521147754</v>
      </c>
      <c r="G185" s="17">
        <f>1/$G$29-LN($G$29)+($L$16*EXP($L$16/($D$14*$L$15))/(($D$14*$L$15^2)*(1-1.05*($L$17^1.26))))*'F(T,E)'!H165</f>
        <v>4190.8463682859165</v>
      </c>
      <c r="H185" s="17">
        <f>1/$H$29-LN($H$29)+($M$16*EXP($M$16/($D$14*$M$15))/(($D$14*$M$15^2)*(1-1.05*($M$17^1.26))))*'F(T,E)'!I165</f>
        <v>865.78762556250865</v>
      </c>
      <c r="I185" s="17">
        <f>1/$I$29-LN($I$29)+($N$16*EXP($N$16/($D$14*$N$15))/(($D$14*$N$15^2)*(1-1.05*($N$17^1.26))))*'F(T,E)'!J165</f>
        <v>370.47256563950242</v>
      </c>
      <c r="J185" s="17">
        <f>1/$J$29-LN($J$29)+($O$16*EXP($O$16/($D$14*$O$15))/(($D$14*$O$15^2)*(1-1.05*($O$17^1.26))))*'F(T,E)'!K165</f>
        <v>3.9954892683479368</v>
      </c>
      <c r="K185" s="17">
        <f>1/$K$29-LN($K$29)+($P$16*EXP($P$16/($D$14*$P$15))/(($D$14*$P$15^2)*(1-1.05*($P$17^1.26))))*'F(T,E)'!L165</f>
        <v>1.2817040896180554</v>
      </c>
      <c r="L185" s="17">
        <f>1/$L$29-LN($L$29)+($Q$16*EXP($Q$16/($D$14*$Q$15))/(($D$14*$Q$15^2)*(1-1.05*($Q$17^1.26))))*'F(T,E)'!M165</f>
        <v>-1.1683413640940201</v>
      </c>
      <c r="M185" s="17">
        <f>1/$M$29-LN($M$29)+($R$16*EXP($R$16/($D$14*$R$15))/(($D$14*$R$15^2)*(1-1.05*($R$17^1.26))))*'F(T,E)'!N165</f>
        <v>1421.7181554603653</v>
      </c>
      <c r="N185" s="17">
        <f>1/$N$29-LN($N$29)+($S$16*EXP($S$16/($D$14*$S$15))/(($D$14*$S$15^2)*(1-1.05*($S$17^1.26))))*'F(T,E)'!O165</f>
        <v>-11.506636133228161</v>
      </c>
      <c r="O185" s="25"/>
      <c r="P185" s="20">
        <f t="shared" si="55"/>
        <v>873361.26388650294</v>
      </c>
      <c r="Q185" s="20">
        <f t="shared" si="56"/>
        <v>76143.203076239719</v>
      </c>
      <c r="R185" s="20">
        <f t="shared" si="57"/>
        <v>4182.5067054004357</v>
      </c>
      <c r="S185" s="20">
        <f t="shared" si="58"/>
        <v>859.02789198171934</v>
      </c>
      <c r="T185" s="20">
        <f t="shared" si="59"/>
        <v>364.57383653918765</v>
      </c>
      <c r="U185" s="20">
        <f t="shared" si="60"/>
        <v>2.9229096818304967</v>
      </c>
      <c r="V185" s="20">
        <f t="shared" si="61"/>
        <v>1.1456937451387732</v>
      </c>
      <c r="W185" s="20">
        <f t="shared" si="62"/>
        <v>0.24365610195915782</v>
      </c>
      <c r="X185" s="20">
        <f t="shared" si="63"/>
        <v>1414.4610871880823</v>
      </c>
      <c r="Y185" s="20">
        <f t="shared" si="64"/>
        <v>1.0062990246891487E-5</v>
      </c>
      <c r="Z185" s="25"/>
      <c r="AA185" s="20">
        <f t="shared" si="66"/>
        <v>6.496083726105586E-4</v>
      </c>
      <c r="AB185" s="20">
        <f t="shared" si="67"/>
        <v>1.0307231325195159E-2</v>
      </c>
      <c r="AC185" s="20">
        <f t="shared" si="68"/>
        <v>1.2422028519636994</v>
      </c>
      <c r="AD185" s="20">
        <f t="shared" si="69"/>
        <v>1.6684044216072182E-3</v>
      </c>
      <c r="AE185" s="20">
        <f t="shared" si="70"/>
        <v>21.687170738009762</v>
      </c>
      <c r="AF185" s="20">
        <f t="shared" si="71"/>
        <v>563.73014728432815</v>
      </c>
      <c r="AG185" s="20">
        <f t="shared" si="72"/>
        <v>4633.5134476396825</v>
      </c>
      <c r="AH185" s="20">
        <f t="shared" si="73"/>
        <v>99.374699157321317</v>
      </c>
      <c r="AI185" s="20">
        <f t="shared" si="74"/>
        <v>0</v>
      </c>
      <c r="AJ185" s="20">
        <v>50</v>
      </c>
      <c r="AK185" s="25"/>
      <c r="AL185" s="20">
        <f t="shared" si="75"/>
        <v>5369.5602929154247</v>
      </c>
      <c r="AM185" s="25"/>
      <c r="AN185" s="20">
        <f t="shared" si="76"/>
        <v>0.19334232022568812</v>
      </c>
      <c r="AO185" s="20">
        <f t="shared" si="77"/>
        <v>0.43970708457527508</v>
      </c>
      <c r="AQ185" s="20">
        <f t="shared" si="78"/>
        <v>5.7357355881137047E-8</v>
      </c>
      <c r="AR185" s="20">
        <v>548</v>
      </c>
      <c r="AS185" s="20">
        <f t="shared" si="79"/>
        <v>8.1882138654613599E-4</v>
      </c>
    </row>
    <row r="186" spans="2:45" x14ac:dyDescent="0.3">
      <c r="B186" s="32">
        <v>277</v>
      </c>
      <c r="C186" s="32">
        <v>5282</v>
      </c>
      <c r="D186" s="7">
        <f t="shared" si="65"/>
        <v>550</v>
      </c>
      <c r="E186" s="17">
        <f>1/$E$29-LN($E$29)+($J$16*EXP($J$16/($D$14*$J$15))/(($D$14*$J$15^2)*(1-1.05*($J$17^1.26))))*'F(T,E)'!F166</f>
        <v>947768.31546305504</v>
      </c>
      <c r="F186" s="17">
        <f>1/$F$29-LN($F$29)+($K$16*EXP($K$16/($D$14*$K$15))/(($D$14*$K$15^2)*(1-1.05*($K$17^1.26))))*'F(T,E)'!G166</f>
        <v>84485.642811487211</v>
      </c>
      <c r="G186" s="17">
        <f>1/$G$29-LN($G$29)+($L$16*EXP($L$16/($D$14*$L$15))/(($D$14*$L$15^2)*(1-1.05*($L$17^1.26))))*'F(T,E)'!H166</f>
        <v>4687.3133214638292</v>
      </c>
      <c r="H186" s="17">
        <f>1/$H$29-LN($H$29)+($M$16*EXP($M$16/($D$14*$M$15))/(($D$14*$M$15^2)*(1-1.05*($M$17^1.26))))*'F(T,E)'!I166</f>
        <v>990.93898617138018</v>
      </c>
      <c r="I186" s="17">
        <f>1/$I$29-LN($I$29)+($N$16*EXP($N$16/($D$14*$N$15))/(($D$14*$N$15^2)*(1-1.05*($N$17^1.26))))*'F(T,E)'!J166</f>
        <v>442.77387239841806</v>
      </c>
      <c r="J186" s="17">
        <f>1/$J$29-LN($J$29)+($O$16*EXP($O$16/($D$14*$O$15))/(($D$14*$O$15^2)*(1-1.05*($O$17^1.26))))*'F(T,E)'!K166</f>
        <v>4.8487213047820568</v>
      </c>
      <c r="K186" s="17">
        <f>1/$K$29-LN($K$29)+($P$16*EXP($P$16/($D$14*$P$15))/(($D$14*$P$15^2)*(1-1.05*($P$17^1.26))))*'F(T,E)'!L166</f>
        <v>1.4779033888232604</v>
      </c>
      <c r="L186" s="17">
        <f>1/$L$29-LN($L$29)+($Q$16*EXP($Q$16/($D$14*$Q$15))/(($D$14*$Q$15^2)*(1-1.05*($Q$17^1.26))))*'F(T,E)'!M166</f>
        <v>-1.1653148940893368</v>
      </c>
      <c r="M186" s="17">
        <f>1/$M$29-LN($M$29)+($R$16*EXP($R$16/($D$14*$R$15))/(($D$14*$R$15^2)*(1-1.05*($R$17^1.26))))*'F(T,E)'!N166</f>
        <v>1463.4624381198589</v>
      </c>
      <c r="N186" s="17">
        <f>1/$N$29-LN($N$29)+($S$16*EXP($S$16/($D$14*$S$15))/(($D$14*$S$15^2)*(1-1.05*($S$17^1.26))))*'F(T,E)'!O166</f>
        <v>-11.505734250475818</v>
      </c>
      <c r="O186" s="25"/>
      <c r="P186" s="20">
        <f t="shared" si="55"/>
        <v>947754.55360495683</v>
      </c>
      <c r="Q186" s="20">
        <f t="shared" si="56"/>
        <v>84474.298541733515</v>
      </c>
      <c r="R186" s="20">
        <f t="shared" si="57"/>
        <v>4678.8616082672561</v>
      </c>
      <c r="S186" s="20">
        <f t="shared" si="58"/>
        <v>984.0438140735489</v>
      </c>
      <c r="T186" s="20">
        <f t="shared" si="59"/>
        <v>436.6946382159594</v>
      </c>
      <c r="U186" s="20">
        <f t="shared" si="60"/>
        <v>3.5748094349624506</v>
      </c>
      <c r="V186" s="20">
        <f t="shared" si="61"/>
        <v>1.2526455967178109</v>
      </c>
      <c r="W186" s="20">
        <f t="shared" si="62"/>
        <v>0.24424962584081711</v>
      </c>
      <c r="X186" s="20">
        <f t="shared" si="63"/>
        <v>1456.1763678566501</v>
      </c>
      <c r="Y186" s="20">
        <f t="shared" si="64"/>
        <v>1.0072069886592403E-5</v>
      </c>
      <c r="Z186" s="25"/>
      <c r="AA186" s="20">
        <f t="shared" si="66"/>
        <v>5.9450486689962851E-4</v>
      </c>
      <c r="AB186" s="20">
        <f t="shared" si="67"/>
        <v>9.225823486227424E-3</v>
      </c>
      <c r="AC186" s="20">
        <f t="shared" si="68"/>
        <v>1.1023998932696313</v>
      </c>
      <c r="AD186" s="20">
        <f t="shared" si="69"/>
        <v>1.4427759679772158E-3</v>
      </c>
      <c r="AE186" s="20">
        <f t="shared" si="70"/>
        <v>17.91392151128699</v>
      </c>
      <c r="AF186" s="20">
        <f t="shared" si="71"/>
        <v>451.73908164325178</v>
      </c>
      <c r="AG186" s="20">
        <f t="shared" si="72"/>
        <v>4811.0450515997463</v>
      </c>
      <c r="AH186" s="20">
        <f t="shared" si="73"/>
        <v>119.00636181281895</v>
      </c>
      <c r="AI186" s="20">
        <f t="shared" si="74"/>
        <v>0</v>
      </c>
      <c r="AJ186" s="20">
        <v>50</v>
      </c>
      <c r="AK186" s="25"/>
      <c r="AL186" s="20">
        <f t="shared" si="75"/>
        <v>5450.8180795646949</v>
      </c>
      <c r="AM186" s="25"/>
      <c r="AN186" s="20">
        <f t="shared" si="76"/>
        <v>28499.543987911668</v>
      </c>
      <c r="AO186" s="20">
        <f t="shared" si="77"/>
        <v>168.81807956469493</v>
      </c>
      <c r="AQ186" s="20">
        <f t="shared" si="78"/>
        <v>2.202138425428225E-5</v>
      </c>
      <c r="AR186" s="20">
        <v>550</v>
      </c>
      <c r="AS186" s="20">
        <f t="shared" si="79"/>
        <v>-0.31961014684720734</v>
      </c>
    </row>
    <row r="187" spans="2:45" x14ac:dyDescent="0.3">
      <c r="B187" s="32">
        <v>278</v>
      </c>
      <c r="C187" s="32">
        <v>5216</v>
      </c>
      <c r="D187" s="7">
        <f t="shared" si="65"/>
        <v>551</v>
      </c>
      <c r="E187" s="17">
        <f>1/$E$29-LN($E$29)+($J$16*EXP($J$16/($D$14*$J$15))/(($D$14*$J$15^2)*(1-1.05*($J$17^1.26))))*'F(T,E)'!F167</f>
        <v>987097.55540816055</v>
      </c>
      <c r="F187" s="17">
        <f>1/$F$29-LN($F$29)+($K$16*EXP($K$16/($D$14*$K$15))/(($D$14*$K$15^2)*(1-1.05*($K$17^1.26))))*'F(T,E)'!G167</f>
        <v>88962.676074419331</v>
      </c>
      <c r="G187" s="17">
        <f>1/$G$29-LN($G$29)+($L$16*EXP($L$16/($D$14*$L$15))/(($D$14*$L$15^2)*(1-1.05*($L$17^1.26))))*'F(T,E)'!H167</f>
        <v>4955.7041498520739</v>
      </c>
      <c r="H187" s="17">
        <f>1/$H$29-LN($H$29)+($M$16*EXP($M$16/($D$14*$M$15))/(($D$14*$M$15^2)*(1-1.05*($M$17^1.26))))*'F(T,E)'!I167</f>
        <v>1059.6794871306633</v>
      </c>
      <c r="I187" s="17">
        <f>1/$I$29-LN($I$29)+($N$16*EXP($N$16/($D$14*$N$15))/(($D$14*$N$15^2)*(1-1.05*($N$17^1.26))))*'F(T,E)'!J167</f>
        <v>483.77230686675239</v>
      </c>
      <c r="J187" s="17">
        <f>1/$J$29-LN($J$29)+($O$16*EXP($O$16/($D$14*$O$15))/(($D$14*$O$15^2)*(1-1.05*($O$17^1.26))))*'F(T,E)'!K167</f>
        <v>5.3199069797652605</v>
      </c>
      <c r="K187" s="17">
        <f>1/$K$29-LN($K$29)+($P$16*EXP($P$16/($D$14*$P$15))/(($D$14*$P$15^2)*(1-1.05*($P$17^1.26))))*'F(T,E)'!L167</f>
        <v>1.589657597366076</v>
      </c>
      <c r="L187" s="17">
        <f>1/$L$29-LN($L$29)+($Q$16*EXP($Q$16/($D$14*$Q$15))/(($D$14*$Q$15^2)*(1-1.05*($Q$17^1.26))))*'F(T,E)'!M167</f>
        <v>-1.1635812181489904</v>
      </c>
      <c r="M187" s="17">
        <f>1/$M$29-LN($M$29)+($R$16*EXP($R$16/($D$14*$R$15))/(($D$14*$R$15^2)*(1-1.05*($R$17^1.26))))*'F(T,E)'!N167</f>
        <v>1484.6777914599552</v>
      </c>
      <c r="N187" s="17">
        <f>1/$N$29-LN($N$29)+($S$16*EXP($S$16/($D$14*$S$15))/(($D$14*$S$15^2)*(1-1.05*($S$17^1.26))))*'F(T,E)'!O167</f>
        <v>-11.505238498394036</v>
      </c>
      <c r="O187" s="25"/>
      <c r="P187" s="20">
        <f t="shared" si="55"/>
        <v>987083.75289099815</v>
      </c>
      <c r="Q187" s="20">
        <f t="shared" si="56"/>
        <v>88951.280166277706</v>
      </c>
      <c r="R187" s="20">
        <f t="shared" si="57"/>
        <v>4947.1967137409265</v>
      </c>
      <c r="S187" s="20">
        <f t="shared" si="58"/>
        <v>1052.7170520715333</v>
      </c>
      <c r="T187" s="20">
        <f t="shared" si="59"/>
        <v>477.60352592211723</v>
      </c>
      <c r="U187" s="20">
        <f t="shared" si="60"/>
        <v>3.9469610511071145</v>
      </c>
      <c r="V187" s="20">
        <f t="shared" si="61"/>
        <v>1.3154663533079152</v>
      </c>
      <c r="W187" s="20">
        <f t="shared" si="62"/>
        <v>0.24459014178913008</v>
      </c>
      <c r="X187" s="20">
        <f t="shared" si="63"/>
        <v>1477.3772978480986</v>
      </c>
      <c r="Y187" s="20">
        <f t="shared" si="64"/>
        <v>1.0077064323788778E-5</v>
      </c>
      <c r="Z187" s="25"/>
      <c r="AA187" s="20">
        <f t="shared" si="66"/>
        <v>5.6885885540615519E-4</v>
      </c>
      <c r="AB187" s="20">
        <f t="shared" si="67"/>
        <v>8.7309286768948759E-3</v>
      </c>
      <c r="AC187" s="20">
        <f t="shared" si="68"/>
        <v>1.0388518617931199</v>
      </c>
      <c r="AD187" s="20">
        <f t="shared" si="69"/>
        <v>1.3424798597509373E-3</v>
      </c>
      <c r="AE187" s="20">
        <f t="shared" si="70"/>
        <v>16.296118032163552</v>
      </c>
      <c r="AF187" s="20">
        <f t="shared" si="71"/>
        <v>404.35572111439228</v>
      </c>
      <c r="AG187" s="20">
        <f t="shared" si="72"/>
        <v>4863.4193205604433</v>
      </c>
      <c r="AH187" s="20">
        <f t="shared" si="73"/>
        <v>130.13940175543027</v>
      </c>
      <c r="AI187" s="20">
        <f t="shared" si="74"/>
        <v>0</v>
      </c>
      <c r="AJ187" s="20">
        <v>50</v>
      </c>
      <c r="AK187" s="25"/>
      <c r="AL187" s="20">
        <f t="shared" si="75"/>
        <v>5465.2600555916142</v>
      </c>
      <c r="AM187" s="25"/>
      <c r="AN187" s="20">
        <f t="shared" si="76"/>
        <v>62130.575313534609</v>
      </c>
      <c r="AO187" s="20">
        <f t="shared" si="77"/>
        <v>249.26005559161422</v>
      </c>
      <c r="AQ187" s="20">
        <f t="shared" si="78"/>
        <v>3.2514594867922086E-5</v>
      </c>
      <c r="AR187" s="20">
        <v>551</v>
      </c>
      <c r="AS187" s="20">
        <f t="shared" si="79"/>
        <v>-0.47787587345018062</v>
      </c>
    </row>
    <row r="188" spans="2:45" x14ac:dyDescent="0.3">
      <c r="B188" s="32">
        <v>280</v>
      </c>
      <c r="C188" s="32">
        <v>5204</v>
      </c>
      <c r="D188" s="7">
        <f t="shared" si="65"/>
        <v>553</v>
      </c>
      <c r="E188" s="17">
        <f>1/$E$29-LN($E$29)+($J$16*EXP($J$16/($D$14*$J$15))/(($D$14*$J$15^2)*(1-1.05*($J$17^1.26))))*'F(T,E)'!F168</f>
        <v>1070266.2585352641</v>
      </c>
      <c r="F188" s="17">
        <f>1/$F$29-LN($F$29)+($K$16*EXP($K$16/($D$14*$K$15))/(($D$14*$K$15^2)*(1-1.05*($K$17^1.26))))*'F(T,E)'!G168</f>
        <v>98587.537528225614</v>
      </c>
      <c r="G188" s="17">
        <f>1/$G$29-LN($G$29)+($L$16*EXP($L$16/($D$14*$L$15))/(($D$14*$L$15^2)*(1-1.05*($L$17^1.26))))*'F(T,E)'!H168</f>
        <v>5536.1933855924244</v>
      </c>
      <c r="H188" s="17">
        <f>1/$H$29-LN($H$29)+($M$16*EXP($M$16/($D$14*$M$15))/(($D$14*$M$15^2)*(1-1.05*($M$17^1.26))))*'F(T,E)'!I168</f>
        <v>1210.7674858422936</v>
      </c>
      <c r="I188" s="17">
        <f>1/$I$29-LN($I$29)+($N$16*EXP($N$16/($D$14*$N$15))/(($D$14*$N$15^2)*(1-1.05*($N$17^1.26))))*'F(T,E)'!J168</f>
        <v>576.85871642269365</v>
      </c>
      <c r="J188" s="17">
        <f>1/$J$29-LN($J$29)+($O$16*EXP($O$16/($D$14*$O$15))/(($D$14*$O$15^2)*(1-1.05*($O$17^1.26))))*'F(T,E)'!K168</f>
        <v>6.3612499430666798</v>
      </c>
      <c r="K188" s="17">
        <f>1/$K$29-LN($K$29)+($P$16*EXP($P$16/($D$14*$P$15))/(($D$14*$P$15^2)*(1-1.05*($P$17^1.26))))*'F(T,E)'!L168</f>
        <v>1.8445591628967533</v>
      </c>
      <c r="L188" s="17">
        <f>1/$L$29-LN($L$29)+($Q$16*EXP($Q$16/($D$14*$Q$15))/(($D$14*$Q$15^2)*(1-1.05*($Q$17^1.26))))*'F(T,E)'!M168</f>
        <v>-1.159603805368921</v>
      </c>
      <c r="M188" s="17">
        <f>1/$M$29-LN($M$29)+($R$16*EXP($R$16/($D$14*$R$15))/(($D$14*$R$15^2)*(1-1.05*($R$17^1.26))))*'F(T,E)'!N168</f>
        <v>1527.8028081340897</v>
      </c>
      <c r="N188" s="17">
        <f>1/$N$29-LN($N$29)+($S$16*EXP($S$16/($D$14*$S$15))/(($D$14*$S$15^2)*(1-1.05*($S$17^1.26))))*'F(T,E)'!O168</f>
        <v>-11.504148001946119</v>
      </c>
      <c r="O188" s="25"/>
      <c r="P188" s="20">
        <f t="shared" si="55"/>
        <v>1070252.3751237348</v>
      </c>
      <c r="Q188" s="20">
        <f t="shared" si="56"/>
        <v>98576.038886404451</v>
      </c>
      <c r="R188" s="20">
        <f t="shared" si="57"/>
        <v>5527.5751015919586</v>
      </c>
      <c r="S188" s="20">
        <f t="shared" si="58"/>
        <v>1203.6714077345671</v>
      </c>
      <c r="T188" s="20">
        <f t="shared" si="59"/>
        <v>570.51218190059478</v>
      </c>
      <c r="U188" s="20">
        <f t="shared" si="60"/>
        <v>4.7939046886376744</v>
      </c>
      <c r="V188" s="20">
        <f t="shared" si="61"/>
        <v>1.463635650761907</v>
      </c>
      <c r="W188" s="20">
        <f t="shared" si="62"/>
        <v>0.24537279742393386</v>
      </c>
      <c r="X188" s="20">
        <f t="shared" si="63"/>
        <v>1520.4736216137646</v>
      </c>
      <c r="Y188" s="20">
        <f t="shared" si="64"/>
        <v>1.008805920963511E-5</v>
      </c>
      <c r="Z188" s="25"/>
      <c r="AA188" s="20">
        <f t="shared" si="66"/>
        <v>5.2106925397432755E-4</v>
      </c>
      <c r="AB188" s="20">
        <f t="shared" si="67"/>
        <v>7.8237729415710135E-3</v>
      </c>
      <c r="AC188" s="20">
        <f t="shared" si="68"/>
        <v>0.9231259129165359</v>
      </c>
      <c r="AD188" s="20">
        <f t="shared" si="69"/>
        <v>1.1636438928418066E-3</v>
      </c>
      <c r="AE188" s="20">
        <f t="shared" si="70"/>
        <v>13.50877113634751</v>
      </c>
      <c r="AF188" s="20">
        <f t="shared" si="71"/>
        <v>324.40972071350836</v>
      </c>
      <c r="AG188" s="20">
        <f t="shared" si="72"/>
        <v>4886.9525021205818</v>
      </c>
      <c r="AH188" s="20">
        <f t="shared" si="73"/>
        <v>155.39752108549189</v>
      </c>
      <c r="AI188" s="20">
        <f t="shared" si="74"/>
        <v>0</v>
      </c>
      <c r="AJ188" s="20">
        <v>50</v>
      </c>
      <c r="AK188" s="25"/>
      <c r="AL188" s="20">
        <f t="shared" si="75"/>
        <v>5431.2011494549342</v>
      </c>
      <c r="AM188" s="25"/>
      <c r="AN188" s="20">
        <f t="shared" si="76"/>
        <v>51620.362313643367</v>
      </c>
      <c r="AO188" s="20">
        <f t="shared" si="77"/>
        <v>227.20114945493424</v>
      </c>
      <c r="AQ188" s="20">
        <f t="shared" si="78"/>
        <v>2.9637132634507579E-5</v>
      </c>
      <c r="AR188" s="20">
        <v>553</v>
      </c>
      <c r="AS188" s="20">
        <f t="shared" si="79"/>
        <v>-0.43658944937535404</v>
      </c>
    </row>
    <row r="189" spans="2:45" x14ac:dyDescent="0.3">
      <c r="B189" s="32">
        <v>281</v>
      </c>
      <c r="C189" s="32">
        <v>5098</v>
      </c>
      <c r="D189" s="7">
        <f t="shared" si="65"/>
        <v>554</v>
      </c>
      <c r="E189" s="17">
        <f>1/$E$29-LN($E$29)+($J$16*EXP($J$16/($D$14*$J$15))/(($D$14*$J$15^2)*(1-1.05*($J$17^1.26))))*'F(T,E)'!F169</f>
        <v>1114208.2123965342</v>
      </c>
      <c r="F189" s="17">
        <f>1/$F$29-LN($F$29)+($K$16*EXP($K$16/($D$14*$K$15))/(($D$14*$K$15^2)*(1-1.05*($K$17^1.26))))*'F(T,E)'!G169</f>
        <v>103755.73739056475</v>
      </c>
      <c r="G189" s="17">
        <f>1/$G$29-LN($G$29)+($L$16*EXP($L$16/($D$14*$L$15))/(($D$14*$L$15^2)*(1-1.05*($L$17^1.26))))*'F(T,E)'!H169</f>
        <v>5849.7425935549109</v>
      </c>
      <c r="H189" s="17">
        <f>1/$H$29-LN($H$29)+($M$16*EXP($M$16/($D$14*$M$15))/(($D$14*$M$15^2)*(1-1.05*($M$17^1.26))))*'F(T,E)'!I169</f>
        <v>1293.6699438014798</v>
      </c>
      <c r="I189" s="17">
        <f>1/$I$29-LN($I$29)+($N$16*EXP($N$16/($D$14*$N$15))/(($D$14*$N$15^2)*(1-1.05*($N$17^1.26))))*'F(T,E)'!J169</f>
        <v>629.57196599450549</v>
      </c>
      <c r="J189" s="17">
        <f>1/$J$29-LN($J$29)+($O$16*EXP($O$16/($D$14*$O$15))/(($D$14*$O$15^2)*(1-1.05*($O$17^1.26))))*'F(T,E)'!K169</f>
        <v>6.9357021620937704</v>
      </c>
      <c r="K189" s="17">
        <f>1/$K$29-LN($K$29)+($P$16*EXP($P$16/($D$14*$P$15))/(($D$14*$P$15^2)*(1-1.05*($P$17^1.26))))*'F(T,E)'!L169</f>
        <v>1.9895466668616104</v>
      </c>
      <c r="L189" s="17">
        <f>1/$L$29-LN($L$29)+($Q$16*EXP($Q$16/($D$14*$Q$15))/(($D$14*$Q$15^2)*(1-1.05*($Q$17^1.26))))*'F(T,E)'!M169</f>
        <v>-1.1573287206659646</v>
      </c>
      <c r="M189" s="17">
        <f>1/$M$29-LN($M$29)+($R$16*EXP($R$16/($D$14*$R$15))/(($D$14*$R$15^2)*(1-1.05*($R$17^1.26))))*'F(T,E)'!N169</f>
        <v>1549.7156315431403</v>
      </c>
      <c r="N189" s="17">
        <f>1/$N$29-LN($N$29)+($S$16*EXP($S$16/($D$14*$S$15))/(($D$14*$S$15^2)*(1-1.05*($S$17^1.26))))*'F(T,E)'!O169</f>
        <v>-11.503549183139944</v>
      </c>
      <c r="O189" s="25"/>
      <c r="P189" s="20">
        <f t="shared" si="55"/>
        <v>1114194.2887481952</v>
      </c>
      <c r="Q189" s="20">
        <f t="shared" si="56"/>
        <v>103744.18765148663</v>
      </c>
      <c r="R189" s="20">
        <f t="shared" si="57"/>
        <v>5841.0691820299708</v>
      </c>
      <c r="S189" s="20">
        <f t="shared" si="58"/>
        <v>1286.5074747711844</v>
      </c>
      <c r="T189" s="20">
        <f t="shared" si="59"/>
        <v>623.13719927640602</v>
      </c>
      <c r="U189" s="20">
        <f t="shared" si="60"/>
        <v>5.273086329659777</v>
      </c>
      <c r="V189" s="20">
        <f t="shared" si="61"/>
        <v>1.5507852507977828</v>
      </c>
      <c r="W189" s="20">
        <f t="shared" si="62"/>
        <v>0.24582138072638057</v>
      </c>
      <c r="X189" s="20">
        <f t="shared" si="63"/>
        <v>1542.3721748699236</v>
      </c>
      <c r="Y189" s="20">
        <f t="shared" si="64"/>
        <v>1.0094101877281549E-5</v>
      </c>
      <c r="Z189" s="25"/>
      <c r="AA189" s="20">
        <f t="shared" si="66"/>
        <v>4.9881164965504704E-4</v>
      </c>
      <c r="AB189" s="20">
        <f t="shared" si="67"/>
        <v>7.4082535294941881E-3</v>
      </c>
      <c r="AC189" s="20">
        <f t="shared" si="68"/>
        <v>0.87046700244221054</v>
      </c>
      <c r="AD189" s="20">
        <f t="shared" si="69"/>
        <v>1.0839625351792364E-3</v>
      </c>
      <c r="AE189" s="20">
        <f t="shared" si="70"/>
        <v>12.309340839686088</v>
      </c>
      <c r="AF189" s="20">
        <f t="shared" si="71"/>
        <v>290.90280330444375</v>
      </c>
      <c r="AG189" s="20">
        <f t="shared" si="72"/>
        <v>4856.3694860287169</v>
      </c>
      <c r="AH189" s="20">
        <f t="shared" si="73"/>
        <v>169.67945068823951</v>
      </c>
      <c r="AI189" s="20">
        <f t="shared" si="74"/>
        <v>0</v>
      </c>
      <c r="AJ189" s="20">
        <v>50</v>
      </c>
      <c r="AK189" s="25"/>
      <c r="AL189" s="20">
        <f t="shared" si="75"/>
        <v>5380.1405388912426</v>
      </c>
      <c r="AM189" s="25"/>
      <c r="AN189" s="20">
        <f t="shared" si="76"/>
        <v>79603.283685840783</v>
      </c>
      <c r="AO189" s="20">
        <f t="shared" si="77"/>
        <v>282.14053889124261</v>
      </c>
      <c r="AQ189" s="20">
        <f t="shared" si="78"/>
        <v>3.6803671956553137E-5</v>
      </c>
      <c r="AR189" s="20">
        <v>554</v>
      </c>
      <c r="AS189" s="20">
        <f t="shared" si="79"/>
        <v>-0.55343377577725106</v>
      </c>
    </row>
    <row r="190" spans="2:45" x14ac:dyDescent="0.3">
      <c r="B190" s="32">
        <v>283</v>
      </c>
      <c r="C190" s="32">
        <v>4862</v>
      </c>
      <c r="D190" s="7">
        <f t="shared" si="65"/>
        <v>556</v>
      </c>
      <c r="E190" s="17">
        <f>1/$E$29-LN($E$29)+($J$16*EXP($J$16/($D$14*$J$15))/(($D$14*$J$15^2)*(1-1.05*($J$17^1.26))))*'F(T,E)'!F170</f>
        <v>1207075.1241086691</v>
      </c>
      <c r="F190" s="17">
        <f>1/$F$29-LN($F$29)+($K$16*EXP($K$16/($D$14*$K$15))/(($D$14*$K$15^2)*(1-1.05*($K$17^1.26))))*'F(T,E)'!G170</f>
        <v>114857.78646238787</v>
      </c>
      <c r="G190" s="17">
        <f>1/$G$29-LN($G$29)+($L$16*EXP($L$16/($D$14*$L$15))/(($D$14*$L$15^2)*(1-1.05*($L$17^1.26))))*'F(T,E)'!H170</f>
        <v>6527.3269952541277</v>
      </c>
      <c r="H190" s="17">
        <f>1/$H$29-LN($H$29)+($M$16*EXP($M$16/($D$14*$M$15))/(($D$14*$M$15^2)*(1-1.05*($M$17^1.26))))*'F(T,E)'!I170</f>
        <v>1475.6986176269711</v>
      </c>
      <c r="I190" s="17">
        <f>1/$I$29-LN($I$29)+($N$16*EXP($N$16/($D$14*$N$15))/(($D$14*$N$15^2)*(1-1.05*($N$17^1.26))))*'F(T,E)'!J170</f>
        <v>749.09180284931494</v>
      </c>
      <c r="J190" s="17">
        <f>1/$J$29-LN($J$29)+($O$16*EXP($O$16/($D$14*$O$15))/(($D$14*$O$15^2)*(1-1.05*($O$17^1.26))))*'F(T,E)'!K170</f>
        <v>8.203893425805326</v>
      </c>
      <c r="K190" s="17">
        <f>1/$K$29-LN($K$29)+($P$16*EXP($P$16/($D$14*$P$15))/(($D$14*$P$15^2)*(1-1.05*($P$17^1.26))))*'F(T,E)'!L170</f>
        <v>2.3197782611958835</v>
      </c>
      <c r="L190" s="17">
        <f>1/$L$29-LN($L$29)+($Q$16*EXP($Q$16/($D$14*$Q$15))/(($D$14*$Q$15^2)*(1-1.05*($Q$17^1.26))))*'F(T,E)'!M170</f>
        <v>-1.1521169881375575</v>
      </c>
      <c r="M190" s="17">
        <f>1/$M$29-LN($M$29)+($R$16*EXP($R$16/($D$14*$R$15))/(($D$14*$R$15^2)*(1-1.05*($R$17^1.26))))*'F(T,E)'!N170</f>
        <v>1594.249822136039</v>
      </c>
      <c r="N190" s="17">
        <f>1/$N$29-LN($N$29)+($S$16*EXP($S$16/($D$14*$S$15))/(($D$14*$S$15^2)*(1-1.05*($S$17^1.26))))*'F(T,E)'!O170</f>
        <v>-11.502233332695818</v>
      </c>
      <c r="O190" s="25"/>
      <c r="P190" s="20">
        <f t="shared" si="55"/>
        <v>1207061.1204037312</v>
      </c>
      <c r="Q190" s="20">
        <f t="shared" si="56"/>
        <v>114846.13506310646</v>
      </c>
      <c r="R190" s="20">
        <f t="shared" si="57"/>
        <v>6518.543915302439</v>
      </c>
      <c r="S190" s="20">
        <f t="shared" si="58"/>
        <v>1468.4042031812057</v>
      </c>
      <c r="T190" s="20">
        <f t="shared" si="59"/>
        <v>742.47735923024345</v>
      </c>
      <c r="U190" s="20">
        <f t="shared" si="60"/>
        <v>6.3546989019891003</v>
      </c>
      <c r="V190" s="20">
        <f t="shared" si="61"/>
        <v>1.7564713687664288</v>
      </c>
      <c r="W190" s="20">
        <f t="shared" si="62"/>
        <v>0.24685147022253284</v>
      </c>
      <c r="X190" s="20">
        <f t="shared" si="63"/>
        <v>1586.8779762986167</v>
      </c>
      <c r="Y190" s="20">
        <f t="shared" si="64"/>
        <v>1.0107392813996225E-5</v>
      </c>
      <c r="Z190" s="25"/>
      <c r="AA190" s="20">
        <f t="shared" si="66"/>
        <v>4.573077365745597E-4</v>
      </c>
      <c r="AB190" s="20">
        <f t="shared" si="67"/>
        <v>6.6459369231810887E-3</v>
      </c>
      <c r="AC190" s="20">
        <f t="shared" si="68"/>
        <v>0.77447409292913971</v>
      </c>
      <c r="AD190" s="20">
        <f t="shared" si="69"/>
        <v>9.4158104478388107E-4</v>
      </c>
      <c r="AE190" s="20">
        <f t="shared" si="70"/>
        <v>10.23626654601572</v>
      </c>
      <c r="AF190" s="20">
        <f t="shared" si="71"/>
        <v>234.64164775852714</v>
      </c>
      <c r="AG190" s="20">
        <f t="shared" si="72"/>
        <v>4711.0483467204594</v>
      </c>
      <c r="AH190" s="20">
        <f t="shared" si="73"/>
        <v>201.97682429710497</v>
      </c>
      <c r="AI190" s="20">
        <f t="shared" si="74"/>
        <v>0</v>
      </c>
      <c r="AJ190" s="20">
        <v>50</v>
      </c>
      <c r="AK190" s="25"/>
      <c r="AL190" s="20">
        <f t="shared" si="75"/>
        <v>5208.6856042407408</v>
      </c>
      <c r="AM190" s="25"/>
      <c r="AN190" s="20">
        <f t="shared" si="76"/>
        <v>120190.90818776752</v>
      </c>
      <c r="AO190" s="20">
        <f t="shared" si="77"/>
        <v>346.68560424074076</v>
      </c>
      <c r="AQ190" s="20">
        <f t="shared" si="78"/>
        <v>4.5223218544478606E-5</v>
      </c>
      <c r="AR190" s="20">
        <v>556</v>
      </c>
      <c r="AS190" s="20">
        <f t="shared" si="79"/>
        <v>-0.71305142789128084</v>
      </c>
    </row>
    <row r="191" spans="2:45" x14ac:dyDescent="0.3">
      <c r="B191" s="32">
        <v>284</v>
      </c>
      <c r="C191" s="32">
        <v>4788</v>
      </c>
      <c r="D191" s="7">
        <f t="shared" si="65"/>
        <v>557</v>
      </c>
      <c r="E191" s="17">
        <f>1/$E$29-LN($E$29)+($J$16*EXP($J$16/($D$14*$J$15))/(($D$14*$J$15^2)*(1-1.05*($J$17^1.26))))*'F(T,E)'!F171</f>
        <v>1256111.9971834493</v>
      </c>
      <c r="F191" s="17">
        <f>1/$F$29-LN($F$29)+($K$16*EXP($K$16/($D$14*$K$15))/(($D$14*$K$15^2)*(1-1.05*($K$17^1.26))))*'F(T,E)'!G171</f>
        <v>120814.61912164807</v>
      </c>
      <c r="G191" s="17">
        <f>1/$G$29-LN($G$29)+($L$16*EXP($L$16/($D$14*$L$15))/(($D$14*$L$15^2)*(1-1.05*($L$17^1.26))))*'F(T,E)'!H171</f>
        <v>6893.0186262203033</v>
      </c>
      <c r="H191" s="17">
        <f>1/$H$29-LN($H$29)+($M$16*EXP($M$16/($D$14*$M$15))/(($D$14*$M$15^2)*(1-1.05*($M$17^1.26))))*'F(T,E)'!I171</f>
        <v>1575.4788740359938</v>
      </c>
      <c r="I191" s="17">
        <f>1/$I$29-LN($I$29)+($N$16*EXP($N$16/($D$14*$N$15))/(($D$14*$N$15^2)*(1-1.05*($N$17^1.26))))*'F(T,E)'!J171</f>
        <v>816.68380123035593</v>
      </c>
      <c r="J191" s="17">
        <f>1/$J$29-LN($J$29)+($O$16*EXP($O$16/($D$14*$O$15))/(($D$14*$O$15^2)*(1-1.05*($O$17^1.26))))*'F(T,E)'!K171</f>
        <v>8.9027491594254737</v>
      </c>
      <c r="K191" s="17">
        <f>1/$K$29-LN($K$29)+($P$16*EXP($P$16/($D$14*$P$15))/(($D$14*$P$15^2)*(1-1.05*($P$17^1.26))))*'F(T,E)'!L171</f>
        <v>2.5073546008932115</v>
      </c>
      <c r="L191" s="17">
        <f>1/$L$29-LN($L$29)+($Q$16*EXP($Q$16/($D$14*$Q$15))/(($D$14*$Q$15^2)*(1-1.05*($Q$17^1.26))))*'F(T,E)'!M171</f>
        <v>-1.1491401547511833</v>
      </c>
      <c r="M191" s="17">
        <f>1/$M$29-LN($M$29)+($R$16*EXP($R$16/($D$14*$R$15))/(($D$14*$R$15^2)*(1-1.05*($R$17^1.26))))*'F(T,E)'!N171</f>
        <v>1616.8743598790172</v>
      </c>
      <c r="N191" s="17">
        <f>1/$N$29-LN($N$29)+($S$16*EXP($S$16/($D$14*$S$15))/(($D$14*$S$15^2)*(1-1.05*($S$17^1.26))))*'F(T,E)'!O171</f>
        <v>-11.50151149172817</v>
      </c>
      <c r="O191" s="25"/>
      <c r="P191" s="20">
        <f t="shared" si="55"/>
        <v>1256097.9536572476</v>
      </c>
      <c r="Q191" s="20">
        <f t="shared" si="56"/>
        <v>120802.9171575013</v>
      </c>
      <c r="R191" s="20">
        <f t="shared" si="57"/>
        <v>6884.1810029378321</v>
      </c>
      <c r="S191" s="20">
        <f t="shared" si="58"/>
        <v>1568.1188960162394</v>
      </c>
      <c r="T191" s="20">
        <f t="shared" si="59"/>
        <v>809.98265440479986</v>
      </c>
      <c r="U191" s="20">
        <f t="shared" si="60"/>
        <v>6.9622469058741947</v>
      </c>
      <c r="V191" s="20">
        <f t="shared" si="61"/>
        <v>1.8774435586562863</v>
      </c>
      <c r="W191" s="20">
        <f t="shared" si="62"/>
        <v>0.24744138768841747</v>
      </c>
      <c r="X191" s="20">
        <f t="shared" si="63"/>
        <v>1609.4883944542792</v>
      </c>
      <c r="Y191" s="20">
        <f t="shared" si="64"/>
        <v>1.0114691304267874E-5</v>
      </c>
      <c r="Z191" s="25"/>
      <c r="AA191" s="20">
        <f t="shared" si="66"/>
        <v>4.3796429681448569E-4</v>
      </c>
      <c r="AB191" s="20">
        <f t="shared" si="67"/>
        <v>6.2964552296921848E-3</v>
      </c>
      <c r="AC191" s="20">
        <f t="shared" si="68"/>
        <v>0.73074983786176861</v>
      </c>
      <c r="AD191" s="20">
        <f t="shared" si="69"/>
        <v>8.7800980157636487E-4</v>
      </c>
      <c r="AE191" s="20">
        <f t="shared" si="70"/>
        <v>9.3413229717093547</v>
      </c>
      <c r="AF191" s="20">
        <f t="shared" si="71"/>
        <v>211.11179135831119</v>
      </c>
      <c r="AG191" s="20">
        <f t="shared" si="72"/>
        <v>4598.5933760644575</v>
      </c>
      <c r="AH191" s="20">
        <f t="shared" si="73"/>
        <v>220.17778238395306</v>
      </c>
      <c r="AI191" s="20">
        <f t="shared" si="74"/>
        <v>0</v>
      </c>
      <c r="AJ191" s="20">
        <v>50</v>
      </c>
      <c r="AK191" s="25"/>
      <c r="AL191" s="20">
        <f t="shared" si="75"/>
        <v>5089.962635045621</v>
      </c>
      <c r="AM191" s="25"/>
      <c r="AN191" s="20">
        <f t="shared" si="76"/>
        <v>91181.432963694911</v>
      </c>
      <c r="AO191" s="20">
        <f t="shared" si="77"/>
        <v>301.96263504562103</v>
      </c>
      <c r="AQ191" s="20">
        <f t="shared" si="78"/>
        <v>3.9389354706093102E-5</v>
      </c>
      <c r="AR191" s="20">
        <v>557</v>
      </c>
      <c r="AS191" s="20">
        <f t="shared" si="79"/>
        <v>-0.63066548672853173</v>
      </c>
    </row>
    <row r="192" spans="2:45" x14ac:dyDescent="0.3">
      <c r="B192" s="32">
        <v>286</v>
      </c>
      <c r="C192" s="32">
        <v>4580</v>
      </c>
      <c r="D192" s="7">
        <f t="shared" si="65"/>
        <v>559</v>
      </c>
      <c r="E192" s="17">
        <f>1/$E$29-LN($E$29)+($J$16*EXP($J$16/($D$14*$J$15))/(($D$14*$J$15^2)*(1-1.05*($J$17^1.26))))*'F(T,E)'!F172</f>
        <v>1359684.8448333873</v>
      </c>
      <c r="F192" s="17">
        <f>1/$F$29-LN($F$29)+($K$16*EXP($K$16/($D$14*$K$15))/(($D$14*$K$15^2)*(1-1.05*($K$17^1.26))))*'F(T,E)'!G172</f>
        <v>133600.90547048906</v>
      </c>
      <c r="G192" s="17">
        <f>1/$G$29-LN($G$29)+($L$16*EXP($L$16/($D$14*$L$15))/(($D$14*$L$15^2)*(1-1.05*($L$17^1.26))))*'F(T,E)'!H172</f>
        <v>7682.6236006028721</v>
      </c>
      <c r="H192" s="17">
        <f>1/$H$29-LN($H$29)+($M$16*EXP($M$16/($D$14*$M$15))/(($D$14*$M$15^2)*(1-1.05*($M$17^1.26))))*'F(T,E)'!I172</f>
        <v>1794.3454012725879</v>
      </c>
      <c r="I192" s="17">
        <f>1/$I$29-LN($I$29)+($N$16*EXP($N$16/($D$14*$N$15))/(($D$14*$N$15^2)*(1-1.05*($N$17^1.26))))*'F(T,E)'!J172</f>
        <v>969.73136238125153</v>
      </c>
      <c r="J192" s="17">
        <f>1/$J$29-LN($J$29)+($O$16*EXP($O$16/($D$14*$O$15))/(($D$14*$O$15^2)*(1-1.05*($O$17^1.26))))*'F(T,E)'!K172</f>
        <v>10.443935500335204</v>
      </c>
      <c r="K192" s="17">
        <f>1/$K$29-LN($K$29)+($P$16*EXP($P$16/($D$14*$P$15))/(($D$14*$P$15^2)*(1-1.05*($P$17^1.26))))*'F(T,E)'!L172</f>
        <v>2.9339887577783359</v>
      </c>
      <c r="L192" s="17">
        <f>1/$L$29-LN($L$29)+($Q$16*EXP($Q$16/($D$14*$Q$15))/(($D$14*$Q$15^2)*(1-1.05*($Q$17^1.26))))*'F(T,E)'!M172</f>
        <v>-1.1423308711695208</v>
      </c>
      <c r="M192" s="17">
        <f>1/$M$29-LN($M$29)+($R$16*EXP($R$16/($D$14*$R$15))/(($D$14*$R$15^2)*(1-1.05*($R$17^1.26))))*'F(T,E)'!N172</f>
        <v>1662.846258648096</v>
      </c>
      <c r="N192" s="17">
        <f>1/$N$29-LN($N$29)+($S$16*EXP($S$16/($D$14*$S$15))/(($D$14*$S$15^2)*(1-1.05*($S$17^1.26))))*'F(T,E)'!O172</f>
        <v>-11.499926922234584</v>
      </c>
      <c r="O192" s="25"/>
      <c r="P192" s="20">
        <f t="shared" si="55"/>
        <v>1359670.7220750817</v>
      </c>
      <c r="Q192" s="20">
        <f t="shared" si="56"/>
        <v>133589.10290234268</v>
      </c>
      <c r="R192" s="20">
        <f t="shared" si="57"/>
        <v>7673.6774664900086</v>
      </c>
      <c r="S192" s="20">
        <f t="shared" si="58"/>
        <v>1786.8550934967636</v>
      </c>
      <c r="T192" s="20">
        <f t="shared" si="59"/>
        <v>962.85788913131444</v>
      </c>
      <c r="U192" s="20">
        <f t="shared" si="60"/>
        <v>8.3247075894731779</v>
      </c>
      <c r="V192" s="20">
        <f t="shared" si="61"/>
        <v>2.1626530335149643</v>
      </c>
      <c r="W192" s="20">
        <f t="shared" si="62"/>
        <v>0.24879502861165065</v>
      </c>
      <c r="X192" s="20">
        <f t="shared" si="63"/>
        <v>1655.432202618882</v>
      </c>
      <c r="Y192" s="20">
        <f t="shared" si="64"/>
        <v>1.0130731278048086E-5</v>
      </c>
      <c r="Z192" s="25"/>
      <c r="AA192" s="20">
        <f t="shared" si="66"/>
        <v>4.0187014801711221E-4</v>
      </c>
      <c r="AB192" s="20">
        <f t="shared" si="67"/>
        <v>5.6547472854352587E-3</v>
      </c>
      <c r="AC192" s="20">
        <f t="shared" si="68"/>
        <v>0.6509657716973779</v>
      </c>
      <c r="AD192" s="20">
        <f t="shared" si="69"/>
        <v>7.6419692238918529E-4</v>
      </c>
      <c r="AE192" s="20">
        <f t="shared" si="70"/>
        <v>7.790089147631595</v>
      </c>
      <c r="AF192" s="20">
        <f t="shared" si="71"/>
        <v>171.57557575676728</v>
      </c>
      <c r="AG192" s="20">
        <f t="shared" si="72"/>
        <v>4304.6260469380813</v>
      </c>
      <c r="AH192" s="20">
        <f t="shared" si="73"/>
        <v>261.18341832620422</v>
      </c>
      <c r="AI192" s="20">
        <f t="shared" si="74"/>
        <v>0</v>
      </c>
      <c r="AJ192" s="20">
        <v>50</v>
      </c>
      <c r="AK192" s="25"/>
      <c r="AL192" s="20">
        <f t="shared" si="75"/>
        <v>4795.8329167547381</v>
      </c>
      <c r="AM192" s="25"/>
      <c r="AN192" s="20">
        <f t="shared" si="76"/>
        <v>46583.847954857709</v>
      </c>
      <c r="AO192" s="20">
        <f t="shared" si="77"/>
        <v>215.83291675473811</v>
      </c>
      <c r="AQ192" s="20">
        <f t="shared" si="78"/>
        <v>2.815420958960244E-5</v>
      </c>
      <c r="AR192" s="20">
        <v>559</v>
      </c>
      <c r="AS192" s="20">
        <f t="shared" si="79"/>
        <v>-0.47125090994484303</v>
      </c>
    </row>
    <row r="193" spans="2:45" x14ac:dyDescent="0.3">
      <c r="B193" s="32">
        <v>287</v>
      </c>
      <c r="C193" s="32">
        <v>4456</v>
      </c>
      <c r="D193" s="7">
        <f t="shared" si="65"/>
        <v>560</v>
      </c>
      <c r="E193" s="17">
        <f>1/$E$29-LN($E$29)+($J$16*EXP($J$16/($D$14*$J$15))/(($D$14*$J$15^2)*(1-1.05*($J$17^1.26))))*'F(T,E)'!F173</f>
        <v>1414342.8947989654</v>
      </c>
      <c r="F193" s="17">
        <f>1/$F$29-LN($F$29)+($K$16*EXP($K$16/($D$14*$K$15))/(($D$14*$K$15^2)*(1-1.05*($K$17^1.26))))*'F(T,E)'!G173</f>
        <v>140456.25243380282</v>
      </c>
      <c r="G193" s="17">
        <f>1/$G$29-LN($G$29)+($L$16*EXP($L$16/($D$14*$L$15))/(($D$14*$L$15^2)*(1-1.05*($L$17^1.26))))*'F(T,E)'!H173</f>
        <v>8108.4252401268323</v>
      </c>
      <c r="H193" s="17">
        <f>1/$H$29-LN($H$29)+($M$16*EXP($M$16/($D$14*$M$15))/(($D$14*$M$15^2)*(1-1.05*($M$17^1.26))))*'F(T,E)'!I173</f>
        <v>1914.2010290898493</v>
      </c>
      <c r="I193" s="17">
        <f>1/$I$29-LN($I$29)+($N$16*EXP($N$16/($D$14*$N$15))/(($D$14*$N$15^2)*(1-1.05*($N$17^1.26))))*'F(T,E)'!J173</f>
        <v>1056.1709518411967</v>
      </c>
      <c r="J193" s="17">
        <f>1/$J$29-LN($J$29)+($O$16*EXP($O$16/($D$14*$O$15))/(($D$14*$O$15^2)*(1-1.05*($O$17^1.26))))*'F(T,E)'!K173</f>
        <v>11.292349586656231</v>
      </c>
      <c r="K193" s="17">
        <f>1/$K$29-LN($K$29)+($P$16*EXP($P$16/($D$14*$P$15))/(($D$14*$P$15^2)*(1-1.05*($P$17^1.26))))*'F(T,E)'!L173</f>
        <v>3.1759946541507023</v>
      </c>
      <c r="L193" s="17">
        <f>1/$L$29-LN($L$29)+($Q$16*EXP($Q$16/($D$14*$Q$15))/(($D$14*$Q$15^2)*(1-1.05*($Q$17^1.26))))*'F(T,E)'!M173</f>
        <v>-1.1384470496440795</v>
      </c>
      <c r="M193" s="17">
        <f>1/$M$29-LN($M$29)+($R$16*EXP($R$16/($D$14*$R$15))/(($D$14*$R$15^2)*(1-1.05*($R$17^1.26))))*'F(T,E)'!N173</f>
        <v>1686.196799555333</v>
      </c>
      <c r="N193" s="17">
        <f>1/$N$29-LN($N$29)+($S$16*EXP($S$16/($D$14*$S$15))/(($D$14*$S$15^2)*(1-1.05*($S$17^1.26))))*'F(T,E)'!O173</f>
        <v>-11.499058527737521</v>
      </c>
      <c r="O193" s="25"/>
      <c r="P193" s="20">
        <f t="shared" si="55"/>
        <v>1414328.7326283762</v>
      </c>
      <c r="Q193" s="20">
        <f t="shared" si="56"/>
        <v>140444.39982464752</v>
      </c>
      <c r="R193" s="20">
        <f t="shared" si="57"/>
        <v>8099.4251361925808</v>
      </c>
      <c r="S193" s="20">
        <f t="shared" si="58"/>
        <v>1906.645947437609</v>
      </c>
      <c r="T193" s="20">
        <f t="shared" si="59"/>
        <v>1049.2118425636691</v>
      </c>
      <c r="U193" s="20">
        <f t="shared" si="60"/>
        <v>9.0856530096131749</v>
      </c>
      <c r="V193" s="20">
        <f t="shared" si="61"/>
        <v>2.3300884331511913</v>
      </c>
      <c r="W193" s="20">
        <f t="shared" si="62"/>
        <v>0.24956975880737656</v>
      </c>
      <c r="X193" s="20">
        <f t="shared" si="63"/>
        <v>1678.7687719492501</v>
      </c>
      <c r="Y193" s="20">
        <f t="shared" si="64"/>
        <v>1.0139532481044864E-5</v>
      </c>
      <c r="Z193" s="25"/>
      <c r="AA193" s="20">
        <f t="shared" si="66"/>
        <v>3.8503656890910153E-4</v>
      </c>
      <c r="AB193" s="20">
        <f t="shared" si="67"/>
        <v>5.360305287090401E-3</v>
      </c>
      <c r="AC193" s="20">
        <f t="shared" si="68"/>
        <v>0.61458854688172349</v>
      </c>
      <c r="AD193" s="20">
        <f t="shared" si="69"/>
        <v>7.1328527471051207E-4</v>
      </c>
      <c r="AE193" s="20">
        <f t="shared" si="70"/>
        <v>7.1186515717903971</v>
      </c>
      <c r="AF193" s="20">
        <f t="shared" si="71"/>
        <v>154.99944098174993</v>
      </c>
      <c r="AG193" s="20">
        <f t="shared" si="72"/>
        <v>4128.9117621017704</v>
      </c>
      <c r="AH193" s="20">
        <f t="shared" si="73"/>
        <v>284.2012278467634</v>
      </c>
      <c r="AI193" s="20">
        <f t="shared" si="74"/>
        <v>0</v>
      </c>
      <c r="AJ193" s="20">
        <v>50</v>
      </c>
      <c r="AK193" s="25"/>
      <c r="AL193" s="20">
        <f t="shared" si="75"/>
        <v>4625.8521296760864</v>
      </c>
      <c r="AM193" s="25"/>
      <c r="AN193" s="20">
        <f t="shared" si="76"/>
        <v>28849.745955502072</v>
      </c>
      <c r="AO193" s="20">
        <f t="shared" si="77"/>
        <v>169.85212967608641</v>
      </c>
      <c r="AQ193" s="20">
        <f t="shared" si="78"/>
        <v>2.2156270368967665E-5</v>
      </c>
      <c r="AR193" s="20">
        <v>560</v>
      </c>
      <c r="AS193" s="20">
        <f t="shared" si="79"/>
        <v>-0.38117623356392821</v>
      </c>
    </row>
    <row r="194" spans="2:45" x14ac:dyDescent="0.3">
      <c r="B194" s="32">
        <v>289</v>
      </c>
      <c r="C194" s="32">
        <v>4254</v>
      </c>
      <c r="D194" s="7">
        <f t="shared" si="65"/>
        <v>562</v>
      </c>
      <c r="E194" s="17">
        <f>1/$E$29-LN($E$29)+($J$16*EXP($J$16/($D$14*$J$15))/(($D$14*$J$15^2)*(1-1.05*($J$17^1.26))))*'F(T,E)'!F174</f>
        <v>1529720.8781534142</v>
      </c>
      <c r="F194" s="17">
        <f>1/$F$29-LN($F$29)+($K$16*EXP($K$16/($D$14*$K$15))/(($D$14*$K$15^2)*(1-1.05*($K$17^1.26))))*'F(T,E)'!G174</f>
        <v>155160.03388374826</v>
      </c>
      <c r="G194" s="17">
        <f>1/$G$29-LN($G$29)+($L$16*EXP($L$16/($D$14*$L$15))/(($D$14*$L$15^2)*(1-1.05*($L$17^1.26))))*'F(T,E)'!H174</f>
        <v>9027.0648948747876</v>
      </c>
      <c r="H194" s="17">
        <f>1/$H$29-LN($H$29)+($M$16*EXP($M$16/($D$14*$M$15))/(($D$14*$M$15^2)*(1-1.05*($M$17^1.26))))*'F(T,E)'!I174</f>
        <v>2176.842046371065</v>
      </c>
      <c r="I194" s="17">
        <f>1/$I$29-LN($I$29)+($N$16*EXP($N$16/($D$14*$N$15))/(($D$14*$N$15^2)*(1-1.05*($N$17^1.26))))*'F(T,E)'!J174</f>
        <v>1251.6338192763631</v>
      </c>
      <c r="J194" s="17">
        <f>1/$J$29-LN($J$29)+($O$16*EXP($O$16/($D$14*$O$15))/(($D$14*$O$15^2)*(1-1.05*($O$17^1.26))))*'F(T,E)'!K174</f>
        <v>13.161394481322946</v>
      </c>
      <c r="K194" s="17">
        <f>1/$K$29-LN($K$29)+($P$16*EXP($P$16/($D$14*$P$15))/(($D$14*$P$15^2)*(1-1.05*($P$17^1.26))))*'F(T,E)'!L174</f>
        <v>3.7256657477740016</v>
      </c>
      <c r="L194" s="17">
        <f>1/$L$29-LN($L$29)+($Q$16*EXP($Q$16/($D$14*$Q$15))/(($D$14*$Q$15^2)*(1-1.05*($Q$17^1.26))))*'F(T,E)'!M174</f>
        <v>-1.129575922300514</v>
      </c>
      <c r="M194" s="17">
        <f>1/$M$29-LN($M$29)+($R$16*EXP($R$16/($D$14*$R$15))/(($D$14*$R$15^2)*(1-1.05*($R$17^1.26))))*'F(T,E)'!N174</f>
        <v>1733.6350246527602</v>
      </c>
      <c r="N194" s="17">
        <f>1/$N$29-LN($N$29)+($S$16*EXP($S$16/($D$14*$S$15))/(($D$14*$S$15^2)*(1-1.05*($S$17^1.26))))*'F(T,E)'!O174</f>
        <v>-11.497154152148143</v>
      </c>
      <c r="O194" s="25"/>
      <c r="P194" s="20">
        <f t="shared" si="55"/>
        <v>1529706.6375622246</v>
      </c>
      <c r="Q194" s="20">
        <f t="shared" si="56"/>
        <v>155148.08170992407</v>
      </c>
      <c r="R194" s="20">
        <f t="shared" si="57"/>
        <v>9017.9574168024883</v>
      </c>
      <c r="S194" s="20">
        <f t="shared" si="58"/>
        <v>2169.1581811846349</v>
      </c>
      <c r="T194" s="20">
        <f t="shared" si="59"/>
        <v>1244.5044634021044</v>
      </c>
      <c r="U194" s="20">
        <f t="shared" si="60"/>
        <v>10.783387706704083</v>
      </c>
      <c r="V194" s="20">
        <f t="shared" si="61"/>
        <v>2.7236813463698653</v>
      </c>
      <c r="W194" s="20">
        <f t="shared" si="62"/>
        <v>0.25134657862618681</v>
      </c>
      <c r="X194" s="20">
        <f t="shared" si="63"/>
        <v>1726.1791999640695</v>
      </c>
      <c r="Y194" s="20">
        <f t="shared" si="64"/>
        <v>1.0158860160768682E-5</v>
      </c>
      <c r="Z194" s="25"/>
      <c r="AA194" s="20">
        <f t="shared" si="66"/>
        <v>3.5360489190822841E-4</v>
      </c>
      <c r="AB194" s="20">
        <f t="shared" si="67"/>
        <v>4.8192076210081519E-3</v>
      </c>
      <c r="AC194" s="20">
        <f t="shared" si="68"/>
        <v>0.54814716115343332</v>
      </c>
      <c r="AD194" s="20">
        <f t="shared" si="69"/>
        <v>6.2197779994497811E-4</v>
      </c>
      <c r="AE194" s="20">
        <f t="shared" si="70"/>
        <v>5.9519372277557583</v>
      </c>
      <c r="AF194" s="20">
        <f t="shared" si="71"/>
        <v>127.03634058216453</v>
      </c>
      <c r="AG194" s="20">
        <f t="shared" si="72"/>
        <v>3737.0004464913141</v>
      </c>
      <c r="AH194" s="20">
        <f t="shared" si="73"/>
        <v>335.8294976141085</v>
      </c>
      <c r="AI194" s="20">
        <f t="shared" si="74"/>
        <v>0</v>
      </c>
      <c r="AJ194" s="20">
        <v>50</v>
      </c>
      <c r="AK194" s="25"/>
      <c r="AL194" s="20">
        <f t="shared" si="75"/>
        <v>4256.3721638668094</v>
      </c>
      <c r="AM194" s="25"/>
      <c r="AN194" s="20">
        <f t="shared" si="76"/>
        <v>5.6271614109960648</v>
      </c>
      <c r="AO194" s="20">
        <f t="shared" si="77"/>
        <v>2.3721638668093874</v>
      </c>
      <c r="AQ194" s="20">
        <f t="shared" si="78"/>
        <v>3.0943564907166607E-7</v>
      </c>
      <c r="AR194" s="20">
        <v>562</v>
      </c>
      <c r="AS194" s="20">
        <f t="shared" si="79"/>
        <v>-5.5763137442627828E-3</v>
      </c>
    </row>
    <row r="195" spans="2:45" x14ac:dyDescent="0.3">
      <c r="B195" s="32">
        <v>290</v>
      </c>
      <c r="C195" s="32">
        <v>3948</v>
      </c>
      <c r="D195" s="7">
        <f t="shared" si="65"/>
        <v>563</v>
      </c>
      <c r="E195" s="17">
        <f>1/$E$29-LN($E$29)+($J$16*EXP($J$16/($D$14*$J$15))/(($D$14*$J$15^2)*(1-1.05*($J$17^1.26))))*'F(T,E)'!F175</f>
        <v>1590573.8290969722</v>
      </c>
      <c r="F195" s="17">
        <f>1/$F$29-LN($F$29)+($K$16*EXP($K$16/($D$14*$K$15))/(($D$14*$K$15^2)*(1-1.05*($K$17^1.26))))*'F(T,E)'!G175</f>
        <v>163037.59914668615</v>
      </c>
      <c r="G195" s="17">
        <f>1/$G$29-LN($G$29)+($L$16*EXP($L$16/($D$14*$L$15))/(($D$14*$L$15^2)*(1-1.05*($L$17^1.26))))*'F(T,E)'!H175</f>
        <v>9522.0522451369688</v>
      </c>
      <c r="H195" s="17">
        <f>1/$H$29-LN($H$29)+($M$16*EXP($M$16/($D$14*$M$15))/(($D$14*$M$15^2)*(1-1.05*($M$17^1.26))))*'F(T,E)'!I175</f>
        <v>2320.5307627594093</v>
      </c>
      <c r="I195" s="17">
        <f>1/$I$29-LN($I$29)+($N$16*EXP($N$16/($D$14*$N$15))/(($D$14*$N$15^2)*(1-1.05*($N$17^1.26))))*'F(T,E)'!J175</f>
        <v>1361.8868517307803</v>
      </c>
      <c r="J195" s="17">
        <f>1/$J$29-LN($J$29)+($O$16*EXP($O$16/($D$14*$O$15))/(($D$14*$O$15^2)*(1-1.05*($O$17^1.26))))*'F(T,E)'!K175</f>
        <v>14.189243996088882</v>
      </c>
      <c r="K195" s="17">
        <f>1/$K$29-LN($K$29)+($P$16*EXP($P$16/($D$14*$P$15))/(($D$14*$P$15^2)*(1-1.05*($P$17^1.26))))*'F(T,E)'!L175</f>
        <v>4.0370476993841757</v>
      </c>
      <c r="L195" s="17">
        <f>1/$L$29-LN($L$29)+($Q$16*EXP($Q$16/($D$14*$Q$15))/(($D$14*$Q$15^2)*(1-1.05*($Q$17^1.26))))*'F(T,E)'!M175</f>
        <v>-1.124523125732102</v>
      </c>
      <c r="M195" s="17">
        <f>1/$M$29-LN($M$29)+($R$16*EXP($R$16/($D$14*$R$15))/(($D$14*$R$15^2)*(1-1.05*($R$17^1.26))))*'F(T,E)'!N175</f>
        <v>1757.7258968789886</v>
      </c>
      <c r="N195" s="17">
        <f>1/$N$29-LN($N$29)+($S$16*EXP($S$16/($D$14*$S$15))/(($D$14*$S$15^2)*(1-1.05*($S$17^1.26))))*'F(T,E)'!O175</f>
        <v>-11.496111508346333</v>
      </c>
      <c r="O195" s="25"/>
      <c r="P195" s="20">
        <f t="shared" si="55"/>
        <v>1590559.5494960533</v>
      </c>
      <c r="Q195" s="20">
        <f t="shared" si="56"/>
        <v>163025.59744737</v>
      </c>
      <c r="R195" s="20">
        <f t="shared" si="57"/>
        <v>9512.8913605209073</v>
      </c>
      <c r="S195" s="20">
        <f t="shared" si="58"/>
        <v>2312.7828813237556</v>
      </c>
      <c r="T195" s="20">
        <f t="shared" si="59"/>
        <v>1354.6728748181968</v>
      </c>
      <c r="U195" s="20">
        <f t="shared" si="60"/>
        <v>11.727322610892621</v>
      </c>
      <c r="V195" s="20">
        <f t="shared" si="61"/>
        <v>2.9539159639144348</v>
      </c>
      <c r="W195" s="20">
        <f t="shared" si="62"/>
        <v>0.25236312615275414</v>
      </c>
      <c r="X195" s="20">
        <f t="shared" si="63"/>
        <v>1750.2562461404179</v>
      </c>
      <c r="Y195" s="20">
        <f t="shared" si="64"/>
        <v>1.0169457649377083E-5</v>
      </c>
      <c r="Z195" s="25"/>
      <c r="AA195" s="20">
        <f t="shared" si="66"/>
        <v>3.389359881174119E-4</v>
      </c>
      <c r="AB195" s="20">
        <f t="shared" si="67"/>
        <v>4.5707197557397381E-3</v>
      </c>
      <c r="AC195" s="20">
        <f t="shared" si="68"/>
        <v>0.51782422572967157</v>
      </c>
      <c r="AD195" s="20">
        <f t="shared" si="69"/>
        <v>5.8106308916074296E-4</v>
      </c>
      <c r="AE195" s="20">
        <f t="shared" si="70"/>
        <v>5.4457054072346409</v>
      </c>
      <c r="AF195" s="20">
        <f t="shared" si="71"/>
        <v>115.25265309451999</v>
      </c>
      <c r="AG195" s="20">
        <f t="shared" si="72"/>
        <v>3527.9791844936299</v>
      </c>
      <c r="AH195" s="20">
        <f t="shared" si="73"/>
        <v>364.67481256817757</v>
      </c>
      <c r="AI195" s="20">
        <f t="shared" si="74"/>
        <v>0</v>
      </c>
      <c r="AJ195" s="20">
        <v>50</v>
      </c>
      <c r="AK195" s="25"/>
      <c r="AL195" s="20">
        <f t="shared" si="75"/>
        <v>4063.8756705081246</v>
      </c>
      <c r="AM195" s="25"/>
      <c r="AN195" s="20">
        <f t="shared" si="76"/>
        <v>13427.171015707454</v>
      </c>
      <c r="AO195" s="20">
        <f t="shared" si="77"/>
        <v>115.87567050812459</v>
      </c>
      <c r="AQ195" s="20">
        <f t="shared" si="78"/>
        <v>1.5115339971653492E-5</v>
      </c>
      <c r="AR195" s="20">
        <v>563</v>
      </c>
      <c r="AS195" s="20">
        <f t="shared" si="79"/>
        <v>-0.29350473786252429</v>
      </c>
    </row>
    <row r="196" spans="2:45" x14ac:dyDescent="0.3">
      <c r="B196" s="32">
        <v>292</v>
      </c>
      <c r="C196" s="32">
        <v>3702</v>
      </c>
      <c r="D196" s="7">
        <f t="shared" si="65"/>
        <v>565</v>
      </c>
      <c r="E196" s="17">
        <f>1/$E$29-LN($E$29)+($J$16*EXP($J$16/($D$14*$J$15))/(($D$14*$J$15^2)*(1-1.05*($J$17^1.26))))*'F(T,E)'!F176</f>
        <v>1718954.6597374352</v>
      </c>
      <c r="F196" s="17">
        <f>1/$F$29-LN($F$29)+($K$16*EXP($K$16/($D$14*$K$15))/(($D$14*$K$15^2)*(1-1.05*($K$17^1.26))))*'F(T,E)'!G176</f>
        <v>179921.29244942393</v>
      </c>
      <c r="G196" s="17">
        <f>1/$G$29-LN($G$29)+($L$16*EXP($L$16/($D$14*$L$15))/(($D$14*$L$15^2)*(1-1.05*($L$17^1.26))))*'F(T,E)'!H176</f>
        <v>10589.092201208507</v>
      </c>
      <c r="H196" s="17">
        <f>1/$H$29-LN($H$29)+($M$16*EXP($M$16/($D$14*$M$15))/(($D$14*$M$15^2)*(1-1.05*($M$17^1.26))))*'F(T,E)'!I176</f>
        <v>2635.0904613861917</v>
      </c>
      <c r="I196" s="17">
        <f>1/$I$29-LN($I$29)+($N$16*EXP($N$16/($D$14*$N$15))/(($D$14*$N$15^2)*(1-1.05*($N$17^1.26))))*'F(T,E)'!J176</f>
        <v>1610.8710989248127</v>
      </c>
      <c r="J196" s="17">
        <f>1/$J$29-LN($J$29)+($O$16*EXP($O$16/($D$14*$O$15))/(($D$14*$O$15^2)*(1-1.05*($O$17^1.26))))*'F(T,E)'!K176</f>
        <v>16.45124583110897</v>
      </c>
      <c r="K196" s="17">
        <f>1/$K$29-LN($K$29)+($P$16*EXP($P$16/($D$14*$P$15))/(($D$14*$P$15^2)*(1-1.05*($P$17^1.26))))*'F(T,E)'!L176</f>
        <v>4.7433317978325338</v>
      </c>
      <c r="L196" s="17">
        <f>1/$L$29-LN($L$29)+($Q$16*EXP($Q$16/($D$14*$Q$15))/(($D$14*$Q$15^2)*(1-1.05*($Q$17^1.26))))*'F(T,E)'!M176</f>
        <v>-1.1129983068922817</v>
      </c>
      <c r="M196" s="17">
        <f>1/$M$29-LN($M$29)+($R$16*EXP($R$16/($D$14*$R$15))/(($D$14*$R$15^2)*(1-1.05*($R$17^1.26))))*'F(T,E)'!N176</f>
        <v>1806.6591398481391</v>
      </c>
      <c r="N196" s="17">
        <f>1/$N$29-LN($N$29)+($S$16*EXP($S$16/($D$14*$S$15))/(($D$14*$S$15^2)*(1-1.05*($S$17^1.26))))*'F(T,E)'!O176</f>
        <v>-11.493827255096381</v>
      </c>
      <c r="O196" s="25"/>
      <c r="P196" s="20">
        <f t="shared" si="55"/>
        <v>1718940.3025147032</v>
      </c>
      <c r="Q196" s="20">
        <f t="shared" si="56"/>
        <v>179909.19220828044</v>
      </c>
      <c r="R196" s="20">
        <f t="shared" si="57"/>
        <v>10579.825059096145</v>
      </c>
      <c r="S196" s="20">
        <f t="shared" si="58"/>
        <v>2627.2152831686171</v>
      </c>
      <c r="T196" s="20">
        <f t="shared" si="59"/>
        <v>1603.4888606501827</v>
      </c>
      <c r="U196" s="20">
        <f t="shared" si="60"/>
        <v>13.824782981373609</v>
      </c>
      <c r="V196" s="20">
        <f t="shared" si="61"/>
        <v>3.4926663548050292</v>
      </c>
      <c r="W196" s="20">
        <f t="shared" si="62"/>
        <v>0.25469402994307061</v>
      </c>
      <c r="X196" s="20">
        <f t="shared" si="63"/>
        <v>1799.1619806511053</v>
      </c>
      <c r="Y196" s="20">
        <f t="shared" si="64"/>
        <v>1.0192713580398421E-5</v>
      </c>
      <c r="Z196" s="25"/>
      <c r="AA196" s="20">
        <f t="shared" si="66"/>
        <v>3.1152830332040887E-4</v>
      </c>
      <c r="AB196" s="20">
        <f t="shared" si="67"/>
        <v>4.113696625436444E-3</v>
      </c>
      <c r="AC196" s="20">
        <f t="shared" si="68"/>
        <v>0.46238903288735794</v>
      </c>
      <c r="AD196" s="20">
        <f t="shared" si="69"/>
        <v>5.0756686292636707E-4</v>
      </c>
      <c r="AE196" s="20">
        <f t="shared" si="70"/>
        <v>4.5641034732665391</v>
      </c>
      <c r="AF196" s="20">
        <f t="shared" si="71"/>
        <v>95.260690471325404</v>
      </c>
      <c r="AG196" s="20">
        <f t="shared" si="72"/>
        <v>3101.0166094461188</v>
      </c>
      <c r="AH196" s="20">
        <f t="shared" si="73"/>
        <v>429.03030056010164</v>
      </c>
      <c r="AI196" s="20">
        <f t="shared" si="74"/>
        <v>0</v>
      </c>
      <c r="AJ196" s="20">
        <v>50</v>
      </c>
      <c r="AK196" s="25"/>
      <c r="AL196" s="20">
        <f t="shared" si="75"/>
        <v>3680.3390257754913</v>
      </c>
      <c r="AM196" s="25"/>
      <c r="AN196" s="20">
        <f t="shared" si="76"/>
        <v>469.19780435482869</v>
      </c>
      <c r="AO196" s="20">
        <f t="shared" si="77"/>
        <v>21.660974224508664</v>
      </c>
      <c r="AQ196" s="20">
        <f t="shared" si="78"/>
        <v>2.8255542175932034E-6</v>
      </c>
      <c r="AR196" s="20">
        <v>565</v>
      </c>
      <c r="AS196" s="20">
        <f t="shared" si="79"/>
        <v>5.8511545717203309E-2</v>
      </c>
    </row>
    <row r="197" spans="2:45" x14ac:dyDescent="0.3">
      <c r="B197" s="32">
        <v>293</v>
      </c>
      <c r="C197" s="32">
        <v>3434</v>
      </c>
      <c r="D197" s="7">
        <f t="shared" si="65"/>
        <v>566</v>
      </c>
      <c r="E197" s="17">
        <f>1/$E$29-LN($E$29)+($J$16*EXP($J$16/($D$14*$J$15))/(($D$14*$J$15^2)*(1-1.05*($J$17^1.26))))*'F(T,E)'!F177</f>
        <v>1786627.3296585211</v>
      </c>
      <c r="F197" s="17">
        <f>1/$F$29-LN($F$29)+($K$16*EXP($K$16/($D$14*$K$15))/(($D$14*$K$15^2)*(1-1.05*($K$17^1.26))))*'F(T,E)'!G177</f>
        <v>188960.14856256932</v>
      </c>
      <c r="G197" s="17">
        <f>1/$G$29-LN($G$29)+($L$16*EXP($L$16/($D$14*$L$15))/(($D$14*$L$15^2)*(1-1.05*($L$17^1.26))))*'F(T,E)'!H177</f>
        <v>11163.587606679748</v>
      </c>
      <c r="H197" s="17">
        <f>1/$H$29-LN($H$29)+($M$16*EXP($M$16/($D$14*$M$15))/(($D$14*$M$15^2)*(1-1.05*($M$17^1.26))))*'F(T,E)'!I177</f>
        <v>2807.0201339554255</v>
      </c>
      <c r="I197" s="17">
        <f>1/$I$29-LN($I$29)+($N$16*EXP($N$16/($D$14*$N$15))/(($D$14*$N$15^2)*(1-1.05*($N$17^1.26))))*'F(T,E)'!J177</f>
        <v>1751.1353393179586</v>
      </c>
      <c r="J197" s="17">
        <f>1/$J$29-LN($J$29)+($O$16*EXP($O$16/($D$14*$O$15))/(($D$14*$O$15^2)*(1-1.05*($O$17^1.26))))*'F(T,E)'!K177</f>
        <v>17.693947342368315</v>
      </c>
      <c r="K197" s="17">
        <f>1/$K$29-LN($K$29)+($P$16*EXP($P$16/($D$14*$P$15))/(($D$14*$P$15^2)*(1-1.05*($P$17^1.26))))*'F(T,E)'!L177</f>
        <v>5.1429077170953361</v>
      </c>
      <c r="L197" s="17">
        <f>1/$L$29-LN($L$29)+($Q$16*EXP($Q$16/($D$14*$Q$15))/(($D$14*$Q$15^2)*(1-1.05*($Q$17^1.26))))*'F(T,E)'!M177</f>
        <v>-1.1064430187993155</v>
      </c>
      <c r="M197" s="17">
        <f>1/$M$29-LN($M$29)+($R$16*EXP($R$16/($D$14*$R$15))/(($D$14*$R$15^2)*(1-1.05*($R$17^1.26))))*'F(T,E)'!N177</f>
        <v>1831.5047056105759</v>
      </c>
      <c r="N197" s="17">
        <f>1/$N$29-LN($N$29)+($S$16*EXP($S$16/($D$14*$S$15))/(($D$14*$S$15^2)*(1-1.05*($S$17^1.26))))*'F(T,E)'!O177</f>
        <v>-11.492577825277369</v>
      </c>
      <c r="O197" s="25"/>
      <c r="P197" s="20">
        <f t="shared" si="55"/>
        <v>1786612.9338223226</v>
      </c>
      <c r="Q197" s="20">
        <f t="shared" si="56"/>
        <v>188947.99930329944</v>
      </c>
      <c r="R197" s="20">
        <f t="shared" si="57"/>
        <v>11154.267611472356</v>
      </c>
      <c r="S197" s="20">
        <f t="shared" si="58"/>
        <v>2799.0816694959203</v>
      </c>
      <c r="T197" s="20">
        <f t="shared" si="59"/>
        <v>1743.6694520325798</v>
      </c>
      <c r="U197" s="20">
        <f t="shared" si="60"/>
        <v>14.986778934310633</v>
      </c>
      <c r="V197" s="20">
        <f t="shared" si="61"/>
        <v>3.8062605047535141</v>
      </c>
      <c r="W197" s="20">
        <f t="shared" si="62"/>
        <v>0.25602747953406202</v>
      </c>
      <c r="X197" s="20">
        <f t="shared" si="63"/>
        <v>1823.9938634757061</v>
      </c>
      <c r="Y197" s="20">
        <f t="shared" si="64"/>
        <v>1.0205456489744176E-5</v>
      </c>
      <c r="Z197" s="25"/>
      <c r="AA197" s="20">
        <f t="shared" si="66"/>
        <v>2.9872893754139359E-4</v>
      </c>
      <c r="AB197" s="20">
        <f t="shared" si="67"/>
        <v>3.9036435923997604E-3</v>
      </c>
      <c r="AC197" s="20">
        <f t="shared" si="68"/>
        <v>0.43706533076688103</v>
      </c>
      <c r="AD197" s="20">
        <f t="shared" si="69"/>
        <v>4.745810737678387E-4</v>
      </c>
      <c r="AE197" s="20">
        <f t="shared" si="70"/>
        <v>4.180742201039525</v>
      </c>
      <c r="AF197" s="20">
        <f t="shared" si="71"/>
        <v>86.782508485678719</v>
      </c>
      <c r="AG197" s="20">
        <f t="shared" si="72"/>
        <v>2889.1830196607248</v>
      </c>
      <c r="AH197" s="20">
        <f t="shared" si="73"/>
        <v>464.78314984108607</v>
      </c>
      <c r="AI197" s="20">
        <f t="shared" si="74"/>
        <v>0</v>
      </c>
      <c r="AJ197" s="20">
        <v>50</v>
      </c>
      <c r="AK197" s="25"/>
      <c r="AL197" s="20">
        <f t="shared" si="75"/>
        <v>3495.3711624728994</v>
      </c>
      <c r="AM197" s="25"/>
      <c r="AN197" s="20">
        <f t="shared" si="76"/>
        <v>3766.4195832750174</v>
      </c>
      <c r="AO197" s="20">
        <f t="shared" si="77"/>
        <v>61.371162472899414</v>
      </c>
      <c r="AQ197" s="20">
        <f t="shared" si="78"/>
        <v>8.0055285217824546E-6</v>
      </c>
      <c r="AR197" s="20">
        <v>566</v>
      </c>
      <c r="AS197" s="20">
        <f t="shared" si="79"/>
        <v>-0.17871625647320738</v>
      </c>
    </row>
    <row r="198" spans="2:45" x14ac:dyDescent="0.3">
      <c r="B198" s="32">
        <v>295</v>
      </c>
      <c r="C198" s="32">
        <v>3260</v>
      </c>
      <c r="D198" s="7">
        <f t="shared" si="65"/>
        <v>568</v>
      </c>
      <c r="E198" s="17">
        <f>1/$E$29-LN($E$29)+($J$16*EXP($J$16/($D$14*$J$15))/(($D$14*$J$15^2)*(1-1.05*($J$17^1.26))))*'F(T,E)'!F178</f>
        <v>1929314.7069834508</v>
      </c>
      <c r="F198" s="17">
        <f>1/$F$29-LN($F$29)+($K$16*EXP($K$16/($D$14*$K$15))/(($D$14*$K$15^2)*(1-1.05*($K$17^1.26))))*'F(T,E)'!G178</f>
        <v>208318.56931269227</v>
      </c>
      <c r="G198" s="17">
        <f>1/$G$29-LN($G$29)+($L$16*EXP($L$16/($D$14*$L$15))/(($D$14*$L$15^2)*(1-1.05*($L$17^1.26))))*'F(T,E)'!H178</f>
        <v>12401.037036862117</v>
      </c>
      <c r="H198" s="17">
        <f>1/$H$29-LN($H$29)+($M$16*EXP($M$16/($D$14*$M$15))/(($D$14*$M$15^2)*(1-1.05*($M$17^1.26))))*'F(T,E)'!I178</f>
        <v>3183.043041308998</v>
      </c>
      <c r="I198" s="17">
        <f>1/$I$29-LN($I$29)+($N$16*EXP($N$16/($D$14*$N$15))/(($D$14*$N$15^2)*(1-1.05*($N$17^1.26))))*'F(T,E)'!J178</f>
        <v>2067.484848134573</v>
      </c>
      <c r="J198" s="17">
        <f>1/$J$29-LN($J$29)+($O$16*EXP($O$16/($D$14*$O$15))/(($D$14*$O$15^2)*(1-1.05*($O$17^1.26))))*'F(T,E)'!K178</f>
        <v>20.425999299109545</v>
      </c>
      <c r="K198" s="17">
        <f>1/$K$29-LN($K$29)+($P$16*EXP($P$16/($D$14*$P$15))/(($D$14*$P$15^2)*(1-1.05*($P$17^1.26))))*'F(T,E)'!L178</f>
        <v>6.0480227745292678</v>
      </c>
      <c r="L198" s="17">
        <f>1/$L$29-LN($L$29)+($Q$16*EXP($Q$16/($D$14*$Q$15))/(($D$14*$Q$15^2)*(1-1.05*($Q$17^1.26))))*'F(T,E)'!M178</f>
        <v>-1.0915120944358241</v>
      </c>
      <c r="M198" s="17">
        <f>1/$M$29-LN($M$29)+($R$16*EXP($R$16/($D$14*$R$15))/(($D$14*$R$15^2)*(1-1.05*($R$17^1.26))))*'F(T,E)'!N178</f>
        <v>1881.9617208436389</v>
      </c>
      <c r="N198" s="17">
        <f>1/$N$29-LN($N$29)+($S$16*EXP($S$16/($D$14*$S$15))/(($D$14*$S$15^2)*(1-1.05*($S$17^1.26))))*'F(T,E)'!O178</f>
        <v>-11.489843188126761</v>
      </c>
      <c r="O198" s="25"/>
      <c r="P198" s="20">
        <f t="shared" si="55"/>
        <v>1929300.2343117779</v>
      </c>
      <c r="Q198" s="20">
        <f t="shared" si="56"/>
        <v>208306.32251831651</v>
      </c>
      <c r="R198" s="20">
        <f t="shared" si="57"/>
        <v>12391.611881512144</v>
      </c>
      <c r="S198" s="20">
        <f t="shared" si="58"/>
        <v>3174.9787153221573</v>
      </c>
      <c r="T198" s="20">
        <f t="shared" si="59"/>
        <v>2059.8526062621822</v>
      </c>
      <c r="U198" s="20">
        <f t="shared" si="60"/>
        <v>17.560355468052105</v>
      </c>
      <c r="V198" s="20">
        <f t="shared" si="61"/>
        <v>4.5359813251440313</v>
      </c>
      <c r="W198" s="20">
        <f t="shared" si="62"/>
        <v>0.25908540976719602</v>
      </c>
      <c r="X198" s="20">
        <f t="shared" si="63"/>
        <v>1874.4236541107509</v>
      </c>
      <c r="Y198" s="20">
        <f t="shared" si="64"/>
        <v>1.0233402618452043E-5</v>
      </c>
      <c r="Z198" s="25"/>
      <c r="AA198" s="20">
        <f t="shared" si="66"/>
        <v>2.7479895134460117E-4</v>
      </c>
      <c r="AB198" s="20">
        <f t="shared" si="67"/>
        <v>3.5169977215938754E-3</v>
      </c>
      <c r="AC198" s="20">
        <f t="shared" si="68"/>
        <v>0.39072732443125968</v>
      </c>
      <c r="AD198" s="20">
        <f t="shared" si="69"/>
        <v>4.1523973029336698E-4</v>
      </c>
      <c r="AE198" s="20">
        <f t="shared" si="70"/>
        <v>3.5117735658310685</v>
      </c>
      <c r="AF198" s="20">
        <f t="shared" si="71"/>
        <v>72.306146991579197</v>
      </c>
      <c r="AG198" s="20">
        <f t="shared" si="72"/>
        <v>2481.2277076848281</v>
      </c>
      <c r="AH198" s="20">
        <f t="shared" si="73"/>
        <v>544.03266947511315</v>
      </c>
      <c r="AI198" s="20">
        <f t="shared" si="74"/>
        <v>0</v>
      </c>
      <c r="AJ198" s="20">
        <v>50</v>
      </c>
      <c r="AK198" s="25"/>
      <c r="AL198" s="20">
        <f t="shared" si="75"/>
        <v>3151.4732320781859</v>
      </c>
      <c r="AM198" s="25"/>
      <c r="AN198" s="20">
        <f t="shared" si="76"/>
        <v>11778.059355555297</v>
      </c>
      <c r="AO198" s="20">
        <f t="shared" si="77"/>
        <v>108.5267679218141</v>
      </c>
      <c r="AQ198" s="20">
        <f t="shared" si="78"/>
        <v>1.4156716297472826E-5</v>
      </c>
      <c r="AR198" s="20">
        <v>568</v>
      </c>
      <c r="AS198" s="20">
        <f t="shared" si="79"/>
        <v>0.33290419607918431</v>
      </c>
    </row>
    <row r="199" spans="2:45" x14ac:dyDescent="0.3">
      <c r="B199" s="32">
        <v>296</v>
      </c>
      <c r="C199" s="32">
        <v>3100</v>
      </c>
      <c r="D199" s="7">
        <f t="shared" si="65"/>
        <v>569</v>
      </c>
      <c r="E199" s="17">
        <f>1/$E$29-LN($E$29)+($J$16*EXP($J$16/($D$14*$J$15))/(($D$14*$J$15^2)*(1-1.05*($J$17^1.26))))*'F(T,E)'!F179</f>
        <v>2004486.8584763196</v>
      </c>
      <c r="F199" s="17">
        <f>1/$F$29-LN($F$29)+($K$16*EXP($K$16/($D$14*$K$15))/(($D$14*$K$15^2)*(1-1.05*($K$17^1.26))))*'F(T,E)'!G179</f>
        <v>218674.85387845468</v>
      </c>
      <c r="G199" s="17">
        <f>1/$G$29-LN($G$29)+($L$16*EXP($L$16/($D$14*$L$15))/(($D$14*$L$15^2)*(1-1.05*($L$17^1.26))))*'F(T,E)'!H179</f>
        <v>13066.763308244634</v>
      </c>
      <c r="H199" s="17">
        <f>1/$H$29-LN($H$29)+($M$16*EXP($M$16/($D$14*$M$15))/(($D$14*$M$15^2)*(1-1.05*($M$17^1.26))))*'F(T,E)'!I179</f>
        <v>3388.3748237479458</v>
      </c>
      <c r="I199" s="17">
        <f>1/$I$29-LN($I$29)+($N$16*EXP($N$16/($D$14*$N$15))/(($D$14*$N$15^2)*(1-1.05*($N$17^1.26))))*'F(T,E)'!J179</f>
        <v>2245.4765309621689</v>
      </c>
      <c r="J199" s="17">
        <f>1/$J$29-LN($J$29)+($O$16*EXP($O$16/($D$14*$O$15))/(($D$14*$O$15^2)*(1-1.05*($O$17^1.26))))*'F(T,E)'!K179</f>
        <v>21.925455355010907</v>
      </c>
      <c r="K199" s="17">
        <f>1/$K$29-LN($K$29)+($P$16*EXP($P$16/($D$14*$P$15))/(($D$14*$P$15^2)*(1-1.05*($P$17^1.26))))*'F(T,E)'!L179</f>
        <v>6.5594242162012089</v>
      </c>
      <c r="L199" s="17">
        <f>1/$L$29-LN($L$29)+($Q$16*EXP($Q$16/($D$14*$Q$15))/(($D$14*$Q$15^2)*(1-1.05*($Q$17^1.26))))*'F(T,E)'!M179</f>
        <v>-1.0830308736843552</v>
      </c>
      <c r="M199" s="17">
        <f>1/$M$29-LN($M$29)+($R$16*EXP($R$16/($D$14*$R$15))/(($D$14*$R$15^2)*(1-1.05*($R$17^1.26))))*'F(T,E)'!N179</f>
        <v>1907.5763711421735</v>
      </c>
      <c r="N199" s="17">
        <f>1/$N$29-LN($N$29)+($S$16*EXP($S$16/($D$14*$S$15))/(($D$14*$S$15^2)*(1-1.05*($S$17^1.26))))*'F(T,E)'!O179</f>
        <v>-11.488348818237419</v>
      </c>
      <c r="O199" s="25"/>
      <c r="P199" s="20">
        <f t="shared" si="55"/>
        <v>2004472.3475812841</v>
      </c>
      <c r="Q199" s="20">
        <f t="shared" si="56"/>
        <v>218662.55856534789</v>
      </c>
      <c r="R199" s="20">
        <f t="shared" si="57"/>
        <v>13057.285843780786</v>
      </c>
      <c r="S199" s="20">
        <f t="shared" si="58"/>
        <v>3380.2479174761934</v>
      </c>
      <c r="T199" s="20">
        <f t="shared" si="59"/>
        <v>2237.7615761919778</v>
      </c>
      <c r="U199" s="20">
        <f t="shared" si="60"/>
        <v>18.981965985251755</v>
      </c>
      <c r="V199" s="20">
        <f t="shared" si="61"/>
        <v>4.9583509920267979</v>
      </c>
      <c r="W199" s="20">
        <f t="shared" si="62"/>
        <v>0.26083528585883359</v>
      </c>
      <c r="X199" s="20">
        <f t="shared" si="63"/>
        <v>1900.0247622341026</v>
      </c>
      <c r="Y199" s="20">
        <f t="shared" si="64"/>
        <v>1.0248706382357978E-5</v>
      </c>
      <c r="Z199" s="25"/>
      <c r="AA199" s="20">
        <f t="shared" si="66"/>
        <v>2.6361641859749433E-4</v>
      </c>
      <c r="AB199" s="20">
        <f t="shared" si="67"/>
        <v>3.3391453604776624E-3</v>
      </c>
      <c r="AC199" s="20">
        <f t="shared" si="68"/>
        <v>0.36953987284051332</v>
      </c>
      <c r="AD199" s="20">
        <f t="shared" si="69"/>
        <v>3.8856751219477204E-4</v>
      </c>
      <c r="AE199" s="20">
        <f t="shared" si="70"/>
        <v>3.2202939965761623</v>
      </c>
      <c r="AF199" s="20">
        <f t="shared" si="71"/>
        <v>66.125456786572443</v>
      </c>
      <c r="AG199" s="20">
        <f t="shared" si="72"/>
        <v>2288.7934406584804</v>
      </c>
      <c r="AH199" s="20">
        <f t="shared" si="73"/>
        <v>587.7536302474108</v>
      </c>
      <c r="AI199" s="20">
        <f t="shared" si="74"/>
        <v>0</v>
      </c>
      <c r="AJ199" s="20">
        <v>50</v>
      </c>
      <c r="AK199" s="25"/>
      <c r="AL199" s="20">
        <f t="shared" si="75"/>
        <v>2996.2663528911717</v>
      </c>
      <c r="AM199" s="25"/>
      <c r="AN199" s="20">
        <f t="shared" si="76"/>
        <v>10760.66954249893</v>
      </c>
      <c r="AO199" s="20">
        <f t="shared" si="77"/>
        <v>103.73364710882834</v>
      </c>
      <c r="AQ199" s="20">
        <f t="shared" si="78"/>
        <v>1.3531480212142833E-5</v>
      </c>
      <c r="AR199" s="20">
        <v>569</v>
      </c>
      <c r="AS199" s="20">
        <f t="shared" si="79"/>
        <v>0.33462466809299463</v>
      </c>
    </row>
    <row r="200" spans="2:45" x14ac:dyDescent="0.3">
      <c r="B200" s="32">
        <v>298</v>
      </c>
      <c r="C200" s="32">
        <v>2878</v>
      </c>
      <c r="D200" s="7">
        <f t="shared" si="65"/>
        <v>571</v>
      </c>
      <c r="E200" s="17">
        <f>1/$E$29-LN($E$29)+($J$16*EXP($J$16/($D$14*$J$15))/(($D$14*$J$15^2)*(1-1.05*($J$17^1.26))))*'F(T,E)'!F180</f>
        <v>2162898.401947841</v>
      </c>
      <c r="F200" s="17">
        <f>1/$F$29-LN($F$29)+($K$16*EXP($K$16/($D$14*$K$15))/(($D$14*$K$15^2)*(1-1.05*($K$17^1.26))))*'F(T,E)'!G180</f>
        <v>240838.7694193956</v>
      </c>
      <c r="G200" s="17">
        <f>1/$G$29-LN($G$29)+($L$16*EXP($L$16/($D$14*$L$15))/(($D$14*$L$15^2)*(1-1.05*($L$17^1.26))))*'F(T,E)'!H180</f>
        <v>14499.59900236479</v>
      </c>
      <c r="H200" s="17">
        <f>1/$H$29-LN($H$29)+($M$16*EXP($M$16/($D$14*$M$15))/(($D$14*$M$15^2)*(1-1.05*($M$17^1.26))))*'F(T,E)'!I180</f>
        <v>3837.0265164668049</v>
      </c>
      <c r="I200" s="17">
        <f>1/$I$29-LN($I$29)+($N$16*EXP($N$16/($D$14*$N$15))/(($D$14*$N$15^2)*(1-1.05*($N$17^1.26))))*'F(T,E)'!J180</f>
        <v>2646.405746237554</v>
      </c>
      <c r="J200" s="17">
        <f>1/$J$29-LN($J$29)+($O$16*EXP($O$16/($D$14*$O$15))/(($D$14*$O$15^2)*(1-1.05*($O$17^1.26))))*'F(T,E)'!K180</f>
        <v>25.218681721729034</v>
      </c>
      <c r="K200" s="17">
        <f>1/$K$29-LN($K$29)+($P$16*EXP($P$16/($D$14*$P$15))/(($D$14*$P$15^2)*(1-1.05*($P$17^1.26))))*'F(T,E)'!L180</f>
        <v>7.7163198166428</v>
      </c>
      <c r="L200" s="17">
        <f>1/$L$29-LN($L$29)+($Q$16*EXP($Q$16/($D$14*$Q$15))/(($D$14*$Q$15^2)*(1-1.05*($Q$17^1.26))))*'F(T,E)'!M180</f>
        <v>-1.0637398372138371</v>
      </c>
      <c r="M200" s="17">
        <f>1/$M$29-LN($M$29)+($R$16*EXP($R$16/($D$14*$R$15))/(($D$14*$R$15^2)*(1-1.05*($R$17^1.26))))*'F(T,E)'!N180</f>
        <v>1959.5859653049217</v>
      </c>
      <c r="N200" s="17">
        <f>1/$N$29-LN($N$29)+($S$16*EXP($S$16/($D$14*$S$15))/(($D$14*$S$15^2)*(1-1.05*($S$17^1.26))))*'F(T,E)'!O180</f>
        <v>-11.485081193474366</v>
      </c>
      <c r="O200" s="25"/>
      <c r="P200" s="20">
        <f t="shared" si="55"/>
        <v>2162883.8149914802</v>
      </c>
      <c r="Q200" s="20">
        <f t="shared" si="56"/>
        <v>240826.37756214009</v>
      </c>
      <c r="R200" s="20">
        <f t="shared" si="57"/>
        <v>14490.017456510437</v>
      </c>
      <c r="S200" s="20">
        <f t="shared" si="58"/>
        <v>3828.7751388367119</v>
      </c>
      <c r="T200" s="20">
        <f t="shared" si="59"/>
        <v>2638.5262775540859</v>
      </c>
      <c r="U200" s="20">
        <f t="shared" si="60"/>
        <v>22.122104413371687</v>
      </c>
      <c r="V200" s="20">
        <f t="shared" si="61"/>
        <v>5.9353875000546141</v>
      </c>
      <c r="W200" s="20">
        <f t="shared" si="62"/>
        <v>0.2648503797915272</v>
      </c>
      <c r="X200" s="20">
        <f t="shared" si="63"/>
        <v>1952.0074110238729</v>
      </c>
      <c r="Y200" s="20">
        <f t="shared" si="64"/>
        <v>1.0282249738488584E-5</v>
      </c>
      <c r="Z200" s="25"/>
      <c r="AA200" s="20">
        <f t="shared" si="66"/>
        <v>2.4269605265613144E-4</v>
      </c>
      <c r="AB200" s="20">
        <f t="shared" si="67"/>
        <v>3.0115106074610231E-3</v>
      </c>
      <c r="AC200" s="20">
        <f t="shared" si="68"/>
        <v>0.33073591733729063</v>
      </c>
      <c r="AD200" s="20">
        <f t="shared" si="69"/>
        <v>3.4051769913598086E-4</v>
      </c>
      <c r="AE200" s="20">
        <f t="shared" si="70"/>
        <v>2.7107187456285176</v>
      </c>
      <c r="AF200" s="20">
        <f t="shared" si="71"/>
        <v>55.50301573114524</v>
      </c>
      <c r="AG200" s="20">
        <f t="shared" si="72"/>
        <v>1933.0879905352424</v>
      </c>
      <c r="AH200" s="20">
        <f t="shared" si="73"/>
        <v>683.88681398831011</v>
      </c>
      <c r="AI200" s="20">
        <f t="shared" si="74"/>
        <v>0</v>
      </c>
      <c r="AJ200" s="20">
        <v>50</v>
      </c>
      <c r="AK200" s="25"/>
      <c r="AL200" s="20">
        <f t="shared" si="75"/>
        <v>2725.5228696420227</v>
      </c>
      <c r="AM200" s="25"/>
      <c r="AN200" s="20">
        <f t="shared" si="76"/>
        <v>23249.275282203613</v>
      </c>
      <c r="AO200" s="20">
        <f t="shared" si="77"/>
        <v>152.47713035797733</v>
      </c>
      <c r="AQ200" s="20">
        <f t="shared" si="78"/>
        <v>1.9889797859692718E-5</v>
      </c>
      <c r="AR200" s="20">
        <v>571</v>
      </c>
      <c r="AS200" s="20">
        <f t="shared" si="79"/>
        <v>0.52980239874210322</v>
      </c>
    </row>
    <row r="201" spans="2:45" x14ac:dyDescent="0.3">
      <c r="B201" s="32">
        <v>299</v>
      </c>
      <c r="C201" s="32">
        <v>2726</v>
      </c>
      <c r="D201" s="7">
        <f t="shared" si="65"/>
        <v>572</v>
      </c>
      <c r="E201" s="17">
        <f>1/$E$29-LN($E$29)+($J$16*EXP($J$16/($D$14*$J$15))/(($D$14*$J$15^2)*(1-1.05*($J$17^1.26))))*'F(T,E)'!F181</f>
        <v>2246308.8259985168</v>
      </c>
      <c r="F201" s="17">
        <f>1/$F$29-LN($F$29)+($K$16*EXP($K$16/($D$14*$K$15))/(($D$14*$K$15^2)*(1-1.05*($K$17^1.26))))*'F(T,E)'!G181</f>
        <v>252687.54432204217</v>
      </c>
      <c r="G201" s="17">
        <f>1/$G$29-LN($G$29)+($L$16*EXP($L$16/($D$14*$L$15))/(($D$14*$L$15^2)*(1-1.05*($L$17^1.26))))*'F(T,E)'!H181</f>
        <v>15269.849993550763</v>
      </c>
      <c r="H201" s="17">
        <f>1/$H$29-LN($H$29)+($M$16*EXP($M$16/($D$14*$M$15))/(($D$14*$M$15^2)*(1-1.05*($M$17^1.26))))*'F(T,E)'!I181</f>
        <v>4081.7928281958821</v>
      </c>
      <c r="I201" s="17">
        <f>1/$I$29-LN($I$29)+($N$16*EXP($N$16/($D$14*$N$15))/(($D$14*$N$15^2)*(1-1.05*($N$17^1.26))))*'F(T,E)'!J181</f>
        <v>2871.7083220810314</v>
      </c>
      <c r="J201" s="17">
        <f>1/$J$29-LN($J$29)+($O$16*EXP($O$16/($D$14*$O$15))/(($D$14*$O$15^2)*(1-1.05*($O$17^1.26))))*'F(T,E)'!K181</f>
        <v>27.024375025857559</v>
      </c>
      <c r="K201" s="17">
        <f>1/$K$29-LN($K$29)+($P$16*EXP($P$16/($D$14*$P$15))/(($D$14*$P$15^2)*(1-1.05*($P$17^1.26))))*'F(T,E)'!L181</f>
        <v>8.3691486987117276</v>
      </c>
      <c r="L201" s="17">
        <f>1/$L$29-LN($L$29)+($Q$16*EXP($Q$16/($D$14*$Q$15))/(($D$14*$Q$15^2)*(1-1.05*($Q$17^1.26))))*'F(T,E)'!M181</f>
        <v>-1.0527964854891698</v>
      </c>
      <c r="M201" s="17">
        <f>1/$M$29-LN($M$29)+($R$16*EXP($R$16/($D$14*$R$15))/(($D$14*$R$15^2)*(1-1.05*($R$17^1.26))))*'F(T,E)'!N181</f>
        <v>1985.9841146273727</v>
      </c>
      <c r="N201" s="17">
        <f>1/$N$29-LN($N$29)+($S$16*EXP($S$16/($D$14*$S$15))/(($D$14*$S$15^2)*(1-1.05*($S$17^1.26))))*'F(T,E)'!O181</f>
        <v>-11.483297222625895</v>
      </c>
      <c r="O201" s="25"/>
      <c r="P201" s="20">
        <f t="shared" si="55"/>
        <v>2246294.2012028666</v>
      </c>
      <c r="Q201" s="20">
        <f t="shared" si="56"/>
        <v>252675.10443765559</v>
      </c>
      <c r="R201" s="20">
        <f t="shared" si="57"/>
        <v>15260.21667342251</v>
      </c>
      <c r="S201" s="20">
        <f t="shared" si="58"/>
        <v>4073.4795550670769</v>
      </c>
      <c r="T201" s="20">
        <f t="shared" si="59"/>
        <v>2863.7470461133616</v>
      </c>
      <c r="U201" s="20">
        <f t="shared" si="60"/>
        <v>23.852486555850756</v>
      </c>
      <c r="V201" s="20">
        <f t="shared" si="61"/>
        <v>6.4977003731537204</v>
      </c>
      <c r="W201" s="20">
        <f t="shared" si="62"/>
        <v>0.26714968272364337</v>
      </c>
      <c r="X201" s="20">
        <f t="shared" si="63"/>
        <v>1978.3921566471834</v>
      </c>
      <c r="Y201" s="20">
        <f t="shared" si="64"/>
        <v>1.0300609154796808E-5</v>
      </c>
      <c r="Z201" s="25"/>
      <c r="AA201" s="20">
        <f t="shared" si="66"/>
        <v>2.3291367626399826E-4</v>
      </c>
      <c r="AB201" s="20">
        <f t="shared" si="67"/>
        <v>2.860681178789101E-3</v>
      </c>
      <c r="AC201" s="20">
        <f t="shared" si="68"/>
        <v>0.31297732884930124</v>
      </c>
      <c r="AD201" s="20">
        <f t="shared" si="69"/>
        <v>3.1889088102392358E-4</v>
      </c>
      <c r="AE201" s="20">
        <f t="shared" si="70"/>
        <v>2.4882802665745301</v>
      </c>
      <c r="AF201" s="20">
        <f t="shared" si="71"/>
        <v>50.93741130864845</v>
      </c>
      <c r="AG201" s="20">
        <f t="shared" si="72"/>
        <v>1771.1241512635136</v>
      </c>
      <c r="AH201" s="20">
        <f t="shared" si="73"/>
        <v>736.46115749562716</v>
      </c>
      <c r="AI201" s="20">
        <f t="shared" si="74"/>
        <v>0</v>
      </c>
      <c r="AJ201" s="20">
        <v>50</v>
      </c>
      <c r="AK201" s="25"/>
      <c r="AL201" s="20">
        <f t="shared" si="75"/>
        <v>2611.3273901489492</v>
      </c>
      <c r="AM201" s="25"/>
      <c r="AN201" s="20">
        <f t="shared" si="76"/>
        <v>13149.807450051305</v>
      </c>
      <c r="AO201" s="20">
        <f t="shared" si="77"/>
        <v>114.67260985105077</v>
      </c>
      <c r="AQ201" s="20">
        <f t="shared" si="78"/>
        <v>1.4958407366573838E-5</v>
      </c>
      <c r="AR201" s="20">
        <v>572</v>
      </c>
      <c r="AS201" s="20">
        <f t="shared" si="79"/>
        <v>0.42066254530833003</v>
      </c>
    </row>
    <row r="202" spans="2:45" x14ac:dyDescent="0.3">
      <c r="B202" s="32">
        <v>301</v>
      </c>
      <c r="C202" s="32">
        <v>2544</v>
      </c>
      <c r="D202" s="7">
        <f t="shared" si="65"/>
        <v>574</v>
      </c>
      <c r="E202" s="17">
        <f>1/$E$29-LN($E$29)+($J$16*EXP($J$16/($D$14*$J$15))/(($D$14*$J$15^2)*(1-1.05*($J$17^1.26))))*'F(T,E)'!F182</f>
        <v>2421984.4837269271</v>
      </c>
      <c r="F202" s="17">
        <f>1/$F$29-LN($F$29)+($K$16*EXP($K$16/($D$14*$K$15))/(($D$14*$K$15^2)*(1-1.05*($K$17^1.26))))*'F(T,E)'!G182</f>
        <v>278027.56503594317</v>
      </c>
      <c r="G202" s="17">
        <f>1/$G$29-LN($G$29)+($L$16*EXP($L$16/($D$14*$L$15))/(($D$14*$L$15^2)*(1-1.05*($L$17^1.26))))*'F(T,E)'!H182</f>
        <v>16926.375472533116</v>
      </c>
      <c r="H202" s="17">
        <f>1/$H$29-LN($H$29)+($M$16*EXP($M$16/($D$14*$M$15))/(($D$14*$M$15^2)*(1-1.05*($M$17^1.26))))*'F(T,E)'!I182</f>
        <v>4616.1121988173245</v>
      </c>
      <c r="I202" s="17">
        <f>1/$I$29-LN($I$29)+($N$16*EXP($N$16/($D$14*$N$15))/(($D$14*$N$15^2)*(1-1.05*($N$17^1.26))))*'F(T,E)'!J182</f>
        <v>3378.571426753404</v>
      </c>
      <c r="J202" s="17">
        <f>1/$J$29-LN($J$29)+($O$16*EXP($O$16/($D$14*$O$15))/(($D$14*$O$15^2)*(1-1.05*($O$17^1.26))))*'F(T,E)'!K182</f>
        <v>30.986283132825655</v>
      </c>
      <c r="K202" s="17">
        <f>1/$K$29-LN($K$29)+($P$16*EXP($P$16/($D$14*$P$15))/(($D$14*$P$15^2)*(1-1.05*($P$17^1.26))))*'F(T,E)'!L182</f>
        <v>9.8440683887133016</v>
      </c>
      <c r="L202" s="17">
        <f>1/$L$29-LN($L$29)+($Q$16*EXP($Q$16/($D$14*$Q$15))/(($D$14*$Q$15^2)*(1-1.05*($Q$17^1.26))))*'F(T,E)'!M182</f>
        <v>-1.0279388798186779</v>
      </c>
      <c r="M202" s="17">
        <f>1/$M$29-LN($M$29)+($R$16*EXP($R$16/($D$14*$R$15))/(($D$14*$R$15^2)*(1-1.05*($R$17^1.26))))*'F(T,E)'!N182</f>
        <v>2039.5751360569973</v>
      </c>
      <c r="N202" s="17">
        <f>1/$N$29-LN($N$29)+($S$16*EXP($S$16/($D$14*$S$15))/(($D$14*$S$15^2)*(1-1.05*($S$17^1.26))))*'F(T,E)'!O182</f>
        <v>-11.479400005689957</v>
      </c>
      <c r="O202" s="25"/>
      <c r="P202" s="20">
        <f t="shared" si="55"/>
        <v>2421969.7836321653</v>
      </c>
      <c r="Q202" s="20">
        <f t="shared" si="56"/>
        <v>278015.02958294417</v>
      </c>
      <c r="R202" s="20">
        <f t="shared" si="57"/>
        <v>16916.639131787</v>
      </c>
      <c r="S202" s="20">
        <f t="shared" si="58"/>
        <v>4607.6758046005716</v>
      </c>
      <c r="T202" s="20">
        <f t="shared" si="59"/>
        <v>3370.4474209711861</v>
      </c>
      <c r="U202" s="20">
        <f t="shared" si="60"/>
        <v>27.666076157625238</v>
      </c>
      <c r="V202" s="20">
        <f t="shared" si="61"/>
        <v>7.7910878868653342</v>
      </c>
      <c r="W202" s="20">
        <f t="shared" si="62"/>
        <v>0.2724310060232793</v>
      </c>
      <c r="X202" s="20">
        <f t="shared" si="63"/>
        <v>2031.9565074163863</v>
      </c>
      <c r="Y202" s="20">
        <f t="shared" si="64"/>
        <v>1.0340830773408818E-5</v>
      </c>
      <c r="Z202" s="25"/>
      <c r="AA202" s="20">
        <f t="shared" si="66"/>
        <v>2.1460131072587185E-4</v>
      </c>
      <c r="AB202" s="20">
        <f t="shared" si="67"/>
        <v>2.5826093806201591E-3</v>
      </c>
      <c r="AC202" s="20">
        <f t="shared" si="68"/>
        <v>0.28042480036281359</v>
      </c>
      <c r="AD202" s="20">
        <f t="shared" si="69"/>
        <v>2.798795018848687E-4</v>
      </c>
      <c r="AE202" s="20">
        <f t="shared" si="70"/>
        <v>2.0987375635993835</v>
      </c>
      <c r="AF202" s="20">
        <f t="shared" si="71"/>
        <v>43.041235941015387</v>
      </c>
      <c r="AG202" s="20">
        <f t="shared" si="72"/>
        <v>1479.9911908048277</v>
      </c>
      <c r="AH202" s="20">
        <f t="shared" si="73"/>
        <v>850.89275041549297</v>
      </c>
      <c r="AI202" s="20">
        <f t="shared" si="74"/>
        <v>0</v>
      </c>
      <c r="AJ202" s="20">
        <v>50</v>
      </c>
      <c r="AK202" s="25"/>
      <c r="AL202" s="20">
        <f t="shared" si="75"/>
        <v>2426.3074166154915</v>
      </c>
      <c r="AM202" s="25"/>
      <c r="AN202" s="20">
        <f t="shared" si="76"/>
        <v>13851.544183719476</v>
      </c>
      <c r="AO202" s="20">
        <f t="shared" si="77"/>
        <v>117.69258338450845</v>
      </c>
      <c r="AQ202" s="20">
        <f t="shared" si="78"/>
        <v>1.5352346201736029E-5</v>
      </c>
      <c r="AR202" s="20">
        <v>574</v>
      </c>
      <c r="AS202" s="20">
        <f t="shared" si="79"/>
        <v>0.46262807934162126</v>
      </c>
    </row>
    <row r="203" spans="2:45" x14ac:dyDescent="0.3">
      <c r="B203" s="32">
        <v>302</v>
      </c>
      <c r="C203" s="32">
        <v>2428</v>
      </c>
      <c r="D203" s="7">
        <f t="shared" si="65"/>
        <v>575</v>
      </c>
      <c r="E203" s="17">
        <f>1/$E$29-LN($E$29)+($J$16*EXP($J$16/($D$14*$J$15))/(($D$14*$J$15^2)*(1-1.05*($J$17^1.26))))*'F(T,E)'!F183</f>
        <v>2514435.3267821725</v>
      </c>
      <c r="F203" s="17">
        <f>1/$F$29-LN($F$29)+($K$16*EXP($K$16/($D$14*$K$15))/(($D$14*$K$15^2)*(1-1.05*($K$17^1.26))))*'F(T,E)'!G183</f>
        <v>291564.85150289483</v>
      </c>
      <c r="G203" s="17">
        <f>1/$G$29-LN($G$29)+($L$16*EXP($L$16/($D$14*$L$15))/(($D$14*$L$15^2)*(1-1.05*($L$17^1.26))))*'F(T,E)'!H183</f>
        <v>17816.204979515562</v>
      </c>
      <c r="H203" s="17">
        <f>1/$H$29-LN($H$29)+($M$16*EXP($M$16/($D$14*$M$15))/(($D$14*$M$15^2)*(1-1.05*($M$17^1.26))))*'F(T,E)'!I183</f>
        <v>4907.3514598306829</v>
      </c>
      <c r="I203" s="17">
        <f>1/$I$29-LN($I$29)+($N$16*EXP($N$16/($D$14*$N$15))/(($D$14*$N$15^2)*(1-1.05*($N$17^1.26))))*'F(T,E)'!J183</f>
        <v>3663.0590147981857</v>
      </c>
      <c r="J203" s="17">
        <f>1/$J$29-LN($J$29)+($O$16*EXP($O$16/($D$14*$O$15))/(($D$14*$O$15^2)*(1-1.05*($O$17^1.26))))*'F(T,E)'!K183</f>
        <v>33.156539203060859</v>
      </c>
      <c r="K203" s="17">
        <f>1/$K$29-LN($K$29)+($P$16*EXP($P$16/($D$14*$P$15))/(($D$14*$P$15^2)*(1-1.05*($P$17^1.26))))*'F(T,E)'!L183</f>
        <v>10.675313623568956</v>
      </c>
      <c r="L203" s="17">
        <f>1/$L$29-LN($L$29)+($Q$16*EXP($Q$16/($D$14*$Q$15))/(($D$14*$Q$15^2)*(1-1.05*($Q$17^1.26))))*'F(T,E)'!M183</f>
        <v>-1.0138561724963535</v>
      </c>
      <c r="M203" s="17">
        <f>1/$M$29-LN($M$29)+($R$16*EXP($R$16/($D$14*$R$15))/(($D$14*$R$15^2)*(1-1.05*($R$17^1.26))))*'F(T,E)'!N183</f>
        <v>2066.7712170723266</v>
      </c>
      <c r="N203" s="17">
        <f>1/$N$29-LN($N$29)+($S$16*EXP($S$16/($D$14*$S$15))/(($D$14*$S$15^2)*(1-1.05*($S$17^1.26))))*'F(T,E)'!O183</f>
        <v>-11.477274248815458</v>
      </c>
      <c r="O203" s="25"/>
      <c r="P203" s="20">
        <f t="shared" si="55"/>
        <v>2514420.5892262892</v>
      </c>
      <c r="Q203" s="20">
        <f t="shared" si="56"/>
        <v>291552.26850673807</v>
      </c>
      <c r="R203" s="20">
        <f t="shared" si="57"/>
        <v>17806.417390491246</v>
      </c>
      <c r="S203" s="20">
        <f t="shared" si="58"/>
        <v>4898.8538360667053</v>
      </c>
      <c r="T203" s="20">
        <f t="shared" si="59"/>
        <v>3654.8540810339082</v>
      </c>
      <c r="U203" s="20">
        <f t="shared" si="60"/>
        <v>29.763264311233765</v>
      </c>
      <c r="V203" s="20">
        <f t="shared" si="61"/>
        <v>8.5315433468017705</v>
      </c>
      <c r="W203" s="20">
        <f t="shared" si="62"/>
        <v>0.27545928276648157</v>
      </c>
      <c r="X203" s="20">
        <f t="shared" si="63"/>
        <v>2059.1393209821836</v>
      </c>
      <c r="Y203" s="20">
        <f t="shared" si="64"/>
        <v>1.0362836018332776E-5</v>
      </c>
      <c r="Z203" s="25"/>
      <c r="AA203" s="20">
        <f t="shared" si="66"/>
        <v>2.0603304905020793E-4</v>
      </c>
      <c r="AB203" s="20">
        <f t="shared" si="67"/>
        <v>2.4544951242463351E-3</v>
      </c>
      <c r="AC203" s="20">
        <f t="shared" si="68"/>
        <v>0.26551402851463807</v>
      </c>
      <c r="AD203" s="20">
        <f t="shared" si="69"/>
        <v>2.6229795427272951E-4</v>
      </c>
      <c r="AE203" s="20">
        <f t="shared" si="70"/>
        <v>1.9284035317210431</v>
      </c>
      <c r="AF203" s="20">
        <f t="shared" si="71"/>
        <v>39.625861942463864</v>
      </c>
      <c r="AG203" s="20">
        <f t="shared" si="72"/>
        <v>1350.5418876974522</v>
      </c>
      <c r="AH203" s="20">
        <f t="shared" si="73"/>
        <v>912.78323470530313</v>
      </c>
      <c r="AI203" s="20">
        <f t="shared" si="74"/>
        <v>0</v>
      </c>
      <c r="AJ203" s="20">
        <v>50</v>
      </c>
      <c r="AK203" s="25"/>
      <c r="AL203" s="20">
        <f t="shared" si="75"/>
        <v>2355.1478247315827</v>
      </c>
      <c r="AM203" s="25"/>
      <c r="AN203" s="20">
        <f t="shared" si="76"/>
        <v>5307.4394413401997</v>
      </c>
      <c r="AO203" s="20">
        <f t="shared" si="77"/>
        <v>72.852175268417341</v>
      </c>
      <c r="AQ203" s="20">
        <f t="shared" si="78"/>
        <v>9.503163106006842E-6</v>
      </c>
      <c r="AR203" s="20">
        <v>575</v>
      </c>
      <c r="AS203" s="20">
        <f t="shared" si="79"/>
        <v>0.30005014525707308</v>
      </c>
    </row>
    <row r="204" spans="2:45" x14ac:dyDescent="0.3">
      <c r="B204" s="32">
        <v>304</v>
      </c>
      <c r="C204" s="32">
        <v>2308</v>
      </c>
      <c r="D204" s="7">
        <f t="shared" si="65"/>
        <v>577</v>
      </c>
      <c r="E204" s="17">
        <f>1/$E$29-LN($E$29)+($J$16*EXP($J$16/($D$14*$J$15))/(($D$14*$J$15^2)*(1-1.05*($J$17^1.26))))*'F(T,E)'!F184</f>
        <v>2709046.2809810438</v>
      </c>
      <c r="F204" s="17">
        <f>1/$F$29-LN($F$29)+($K$16*EXP($K$16/($D$14*$K$15))/(($D$14*$K$15^2)*(1-1.05*($K$17^1.26))))*'F(T,E)'!G184</f>
        <v>320495.68750278401</v>
      </c>
      <c r="G204" s="17">
        <f>1/$G$29-LN($G$29)+($L$16*EXP($L$16/($D$14*$L$15))/(($D$14*$L$15^2)*(1-1.05*($L$17^1.26))))*'F(T,E)'!H184</f>
        <v>19728.447915618173</v>
      </c>
      <c r="H204" s="17">
        <f>1/$H$29-LN($H$29)+($M$16*EXP($M$16/($D$14*$M$15))/(($D$14*$M$15^2)*(1-1.05*($M$17^1.26))))*'F(T,E)'!I184</f>
        <v>5542.5385705250283</v>
      </c>
      <c r="I204" s="17">
        <f>1/$I$29-LN($I$29)+($N$16*EXP($N$16/($D$14*$N$15))/(($D$14*$N$15^2)*(1-1.05*($N$17^1.26))))*'F(T,E)'!J184</f>
        <v>4302.2827947368733</v>
      </c>
      <c r="J204" s="17">
        <f>1/$J$29-LN($J$29)+($O$16*EXP($O$16/($D$14*$O$15))/(($D$14*$O$15^2)*(1-1.05*($O$17^1.26))))*'F(T,E)'!K184</f>
        <v>37.913731112175689</v>
      </c>
      <c r="K204" s="17">
        <f>1/$K$29-LN($K$29)+($P$16*EXP($P$16/($D$14*$P$15))/(($D$14*$P$15^2)*(1-1.05*($P$17^1.26))))*'F(T,E)'!L184</f>
        <v>12.550929226266549</v>
      </c>
      <c r="L204" s="17">
        <f>1/$L$29-LN($L$29)+($Q$16*EXP($Q$16/($D$14*$Q$15))/(($D$14*$Q$15^2)*(1-1.05*($Q$17^1.26))))*'F(T,E)'!M184</f>
        <v>-0.98191020158012177</v>
      </c>
      <c r="M204" s="17">
        <f>1/$M$29-LN($M$29)+($R$16*EXP($R$16/($D$14*$R$15))/(($D$14*$R$15^2)*(1-1.05*($R$17^1.26))))*'F(T,E)'!N184</f>
        <v>2121.9725451540985</v>
      </c>
      <c r="N204" s="17">
        <f>1/$N$29-LN($N$29)+($S$16*EXP($S$16/($D$14*$S$15))/(($D$14*$S$15^2)*(1-1.05*($S$17^1.26))))*'F(T,E)'!O184</f>
        <v>-11.47263465917222</v>
      </c>
      <c r="O204" s="25"/>
      <c r="P204" s="20">
        <f t="shared" si="55"/>
        <v>2709031.4688765728</v>
      </c>
      <c r="Q204" s="20">
        <f t="shared" si="56"/>
        <v>320483.00989846245</v>
      </c>
      <c r="R204" s="20">
        <f t="shared" si="57"/>
        <v>19718.558349337094</v>
      </c>
      <c r="S204" s="20">
        <f t="shared" si="58"/>
        <v>5533.9191402652814</v>
      </c>
      <c r="T204" s="20">
        <f t="shared" si="59"/>
        <v>4293.9168660728137</v>
      </c>
      <c r="U204" s="20">
        <f t="shared" si="60"/>
        <v>34.37636193698868</v>
      </c>
      <c r="V204" s="20">
        <f t="shared" si="61"/>
        <v>10.225996110010666</v>
      </c>
      <c r="W204" s="20">
        <f t="shared" si="62"/>
        <v>0.28242655233912778</v>
      </c>
      <c r="X204" s="20">
        <f t="shared" si="63"/>
        <v>2114.3142487214791</v>
      </c>
      <c r="Y204" s="20">
        <f t="shared" si="64"/>
        <v>1.0411026530103048E-5</v>
      </c>
      <c r="Z204" s="25"/>
      <c r="AA204" s="20">
        <f t="shared" si="66"/>
        <v>1.8998361405529418E-4</v>
      </c>
      <c r="AB204" s="20">
        <f t="shared" si="67"/>
        <v>2.218118998741617E-3</v>
      </c>
      <c r="AC204" s="20">
        <f t="shared" si="68"/>
        <v>0.23815833015494664</v>
      </c>
      <c r="AD204" s="20">
        <f t="shared" si="69"/>
        <v>2.3054446172574814E-4</v>
      </c>
      <c r="AE204" s="20">
        <f t="shared" si="70"/>
        <v>1.6296282420460548</v>
      </c>
      <c r="AF204" s="20">
        <f t="shared" si="71"/>
        <v>33.684138385067534</v>
      </c>
      <c r="AG204" s="20">
        <f t="shared" si="72"/>
        <v>1122.0302844031373</v>
      </c>
      <c r="AH204" s="20">
        <f t="shared" si="73"/>
        <v>1045.7503762682734</v>
      </c>
      <c r="AI204" s="20">
        <f t="shared" si="74"/>
        <v>0</v>
      </c>
      <c r="AJ204" s="20">
        <v>50</v>
      </c>
      <c r="AK204" s="25"/>
      <c r="AL204" s="20">
        <f t="shared" si="75"/>
        <v>2253.3352242757537</v>
      </c>
      <c r="AM204" s="25"/>
      <c r="AN204" s="20">
        <f t="shared" si="76"/>
        <v>2988.2377049821457</v>
      </c>
      <c r="AO204" s="20">
        <f t="shared" si="77"/>
        <v>54.664775724246283</v>
      </c>
      <c r="AQ204" s="20">
        <f t="shared" si="78"/>
        <v>7.1307174829960462E-6</v>
      </c>
      <c r="AR204" s="20">
        <v>577</v>
      </c>
      <c r="AS204" s="20">
        <f t="shared" si="79"/>
        <v>0.2368491149230775</v>
      </c>
    </row>
    <row r="205" spans="2:45" x14ac:dyDescent="0.3">
      <c r="B205" s="32">
        <v>305</v>
      </c>
      <c r="C205" s="32">
        <v>2304</v>
      </c>
      <c r="D205" s="7">
        <f t="shared" si="65"/>
        <v>578</v>
      </c>
      <c r="E205" s="17">
        <f>1/$E$29-LN($E$29)+($J$16*EXP($J$16/($D$14*$J$15))/(($D$14*$J$15^2)*(1-1.05*($J$17^1.26))))*'F(T,E)'!F185</f>
        <v>2811407.625663579</v>
      </c>
      <c r="F205" s="17">
        <f>1/$F$29-LN($F$29)+($K$16*EXP($K$16/($D$14*$K$15))/(($D$14*$K$15^2)*(1-1.05*($K$17^1.26))))*'F(T,E)'!G185</f>
        <v>335940.69092536223</v>
      </c>
      <c r="G205" s="17">
        <f>1/$G$29-LN($G$29)+($L$16*EXP($L$16/($D$14*$L$15))/(($D$14*$L$15^2)*(1-1.05*($L$17^1.26))))*'F(T,E)'!H185</f>
        <v>20754.87858729039</v>
      </c>
      <c r="H205" s="17">
        <f>1/$H$29-LN($H$29)+($M$16*EXP($M$16/($D$14*$M$15))/(($D$14*$M$15^2)*(1-1.05*($M$17^1.26))))*'F(T,E)'!I185</f>
        <v>5888.4488183066669</v>
      </c>
      <c r="I205" s="17">
        <f>1/$I$29-LN($I$29)+($N$16*EXP($N$16/($D$14*$N$15))/(($D$14*$N$15^2)*(1-1.05*($N$17^1.26))))*'F(T,E)'!J185</f>
        <v>4660.633175308797</v>
      </c>
      <c r="J205" s="17">
        <f>1/$J$29-LN($J$29)+($O$16*EXP($O$16/($D$14*$O$15))/(($D$14*$O$15^2)*(1-1.05*($O$17^1.26))))*'F(T,E)'!K185</f>
        <v>40.517172818395125</v>
      </c>
      <c r="K205" s="17">
        <f>1/$K$29-LN($K$29)+($P$16*EXP($P$16/($D$14*$P$15))/(($D$14*$P$15^2)*(1-1.05*($P$17^1.26))))*'F(T,E)'!L185</f>
        <v>13.606697564129105</v>
      </c>
      <c r="L205" s="17">
        <f>1/$L$29-LN($L$29)+($Q$16*EXP($Q$16/($D$14*$Q$15))/(($D$14*$Q$15^2)*(1-1.05*($Q$17^1.26))))*'F(T,E)'!M185</f>
        <v>-0.96383497413554464</v>
      </c>
      <c r="M205" s="17">
        <f>1/$M$29-LN($M$29)+($R$16*EXP($R$16/($D$14*$R$15))/(($D$14*$R$15^2)*(1-1.05*($R$17^1.26))))*'F(T,E)'!N185</f>
        <v>2149.9810033964632</v>
      </c>
      <c r="N205" s="17">
        <f>1/$N$29-LN($N$29)+($S$16*EXP($S$16/($D$14*$S$15))/(($D$14*$S$15^2)*(1-1.05*($S$17^1.26))))*'F(T,E)'!O185</f>
        <v>-11.470106245389667</v>
      </c>
      <c r="O205" s="25"/>
      <c r="P205" s="20">
        <f t="shared" si="55"/>
        <v>2811392.7764703697</v>
      </c>
      <c r="Q205" s="20">
        <f t="shared" si="56"/>
        <v>335927.96625439287</v>
      </c>
      <c r="R205" s="20">
        <f t="shared" si="57"/>
        <v>20744.938290154423</v>
      </c>
      <c r="S205" s="20">
        <f t="shared" si="58"/>
        <v>5879.7688075229426</v>
      </c>
      <c r="T205" s="20">
        <f t="shared" si="59"/>
        <v>4652.1871749136981</v>
      </c>
      <c r="U205" s="20">
        <f t="shared" si="60"/>
        <v>36.90872484951133</v>
      </c>
      <c r="V205" s="20">
        <f t="shared" si="61"/>
        <v>11.19153947528209</v>
      </c>
      <c r="W205" s="20">
        <f t="shared" si="62"/>
        <v>0.28642913757881128</v>
      </c>
      <c r="X205" s="20">
        <f t="shared" si="63"/>
        <v>2142.3095735952156</v>
      </c>
      <c r="Y205" s="20">
        <f t="shared" si="64"/>
        <v>1.0437382944247205E-5</v>
      </c>
      <c r="Z205" s="25"/>
      <c r="AA205" s="20">
        <f t="shared" si="66"/>
        <v>1.8246951169488911E-4</v>
      </c>
      <c r="AB205" s="20">
        <f t="shared" si="67"/>
        <v>2.1091298709990428E-3</v>
      </c>
      <c r="AC205" s="20">
        <f t="shared" si="68"/>
        <v>0.22561714648601153</v>
      </c>
      <c r="AD205" s="20">
        <f t="shared" si="69"/>
        <v>2.1621621327593479E-4</v>
      </c>
      <c r="AE205" s="20">
        <f t="shared" si="70"/>
        <v>1.4987729105848639</v>
      </c>
      <c r="AF205" s="20">
        <f t="shared" si="71"/>
        <v>31.099036732291133</v>
      </c>
      <c r="AG205" s="20">
        <f t="shared" si="72"/>
        <v>1021.9393727817857</v>
      </c>
      <c r="AH205" s="20">
        <f t="shared" si="73"/>
        <v>1116.6385659099767</v>
      </c>
      <c r="AI205" s="20">
        <f t="shared" si="74"/>
        <v>0</v>
      </c>
      <c r="AJ205" s="20">
        <v>50</v>
      </c>
      <c r="AK205" s="25"/>
      <c r="AL205" s="20">
        <f t="shared" si="75"/>
        <v>2221.4038732967201</v>
      </c>
      <c r="AM205" s="25"/>
      <c r="AN205" s="20">
        <f t="shared" si="76"/>
        <v>6822.1201463842635</v>
      </c>
      <c r="AO205" s="20">
        <f t="shared" si="77"/>
        <v>82.596126703279879</v>
      </c>
      <c r="AQ205" s="20">
        <f t="shared" si="78"/>
        <v>1.0774207648483957E-5</v>
      </c>
      <c r="AR205" s="20">
        <v>578</v>
      </c>
      <c r="AS205" s="20">
        <f t="shared" si="79"/>
        <v>0.3584901332607634</v>
      </c>
    </row>
    <row r="206" spans="2:45" x14ac:dyDescent="0.3">
      <c r="B206" s="32">
        <v>307</v>
      </c>
      <c r="C206" s="32">
        <v>2198</v>
      </c>
      <c r="D206" s="7">
        <f t="shared" si="65"/>
        <v>580</v>
      </c>
      <c r="E206" s="17">
        <f>1/$E$29-LN($E$29)+($J$16*EXP($J$16/($D$14*$J$15))/(($D$14*$J$15^2)*(1-1.05*($J$17^1.26))))*'F(T,E)'!F186</f>
        <v>3026765.7159364945</v>
      </c>
      <c r="F206" s="17">
        <f>1/$F$29-LN($F$29)+($K$16*EXP($K$16/($D$14*$K$15))/(($D$14*$K$15^2)*(1-1.05*($K$17^1.26))))*'F(T,E)'!G186</f>
        <v>368925.80286378646</v>
      </c>
      <c r="G206" s="17">
        <f>1/$G$29-LN($G$29)+($L$16*EXP($L$16/($D$14*$L$15))/(($D$14*$L$15^2)*(1-1.05*($L$17^1.26))))*'F(T,E)'!H186</f>
        <v>22959.030036854256</v>
      </c>
      <c r="H206" s="17">
        <f>1/$H$29-LN($H$29)+($M$16*EXP($M$16/($D$14*$M$15))/(($D$14*$M$15^2)*(1-1.05*($M$17^1.26))))*'F(T,E)'!I186</f>
        <v>6642.1928271016832</v>
      </c>
      <c r="I206" s="17">
        <f>1/$I$29-LN($I$29)+($N$16*EXP($N$16/($D$14*$N$15))/(($D$14*$N$15^2)*(1-1.05*($N$17^1.26))))*'F(T,E)'!J186</f>
        <v>5464.8458579613607</v>
      </c>
      <c r="J206" s="17">
        <f>1/$J$29-LN($J$29)+($O$16*EXP($O$16/($D$14*$O$15))/(($D$14*$O$15^2)*(1-1.05*($O$17^1.26))))*'F(T,E)'!K186</f>
        <v>46.218466373386285</v>
      </c>
      <c r="K206" s="17">
        <f>1/$K$29-LN($K$29)+($P$16*EXP($P$16/($D$14*$P$15))/(($D$14*$P$15^2)*(1-1.05*($P$17^1.26))))*'F(T,E)'!L186</f>
        <v>15.985934173208371</v>
      </c>
      <c r="L206" s="17">
        <f>1/$L$29-LN($L$29)+($Q$16*EXP($Q$16/($D$14*$Q$15))/(($D$14*$Q$15^2)*(1-1.05*($Q$17^1.26))))*'F(T,E)'!M186</f>
        <v>-0.92288592912547718</v>
      </c>
      <c r="M206" s="17">
        <f>1/$M$29-LN($M$29)+($R$16*EXP($R$16/($D$14*$R$15))/(($D$14*$R$15^2)*(1-1.05*($R$17^1.26))))*'F(T,E)'!N186</f>
        <v>2206.8215379247895</v>
      </c>
      <c r="N206" s="17">
        <f>1/$N$29-LN($N$29)+($S$16*EXP($S$16/($D$14*$S$15))/(($D$14*$S$15^2)*(1-1.05*($S$17^1.26))))*'F(T,E)'!O186</f>
        <v>-11.46459284494442</v>
      </c>
      <c r="O206" s="25"/>
      <c r="P206" s="20">
        <f t="shared" si="55"/>
        <v>3026750.7929337728</v>
      </c>
      <c r="Q206" s="20">
        <f t="shared" si="56"/>
        <v>368912.98453033244</v>
      </c>
      <c r="R206" s="20">
        <f t="shared" si="57"/>
        <v>22948.988788932787</v>
      </c>
      <c r="S206" s="20">
        <f t="shared" si="58"/>
        <v>6633.3922921906624</v>
      </c>
      <c r="T206" s="20">
        <f t="shared" si="59"/>
        <v>5456.2405541712133</v>
      </c>
      <c r="U206" s="20">
        <f t="shared" si="60"/>
        <v>42.469676056670359</v>
      </c>
      <c r="V206" s="20">
        <f t="shared" si="61"/>
        <v>13.391326920540584</v>
      </c>
      <c r="W206" s="20">
        <f t="shared" si="62"/>
        <v>0.2956598184463094</v>
      </c>
      <c r="X206" s="20">
        <f t="shared" si="63"/>
        <v>2199.1239738175254</v>
      </c>
      <c r="Y206" s="20">
        <f t="shared" si="64"/>
        <v>1.0495086737970585E-5</v>
      </c>
      <c r="Z206" s="25"/>
      <c r="AA206" s="20">
        <f t="shared" si="66"/>
        <v>1.6838612423016809E-4</v>
      </c>
      <c r="AB206" s="20">
        <f t="shared" si="67"/>
        <v>1.9078874648805206E-3</v>
      </c>
      <c r="AC206" s="20">
        <f t="shared" si="68"/>
        <v>0.20258945332900347</v>
      </c>
      <c r="AD206" s="20">
        <f t="shared" si="69"/>
        <v>1.9030800577771618E-4</v>
      </c>
      <c r="AE206" s="20">
        <f t="shared" si="70"/>
        <v>1.2688965046180165</v>
      </c>
      <c r="AF206" s="20">
        <f t="shared" si="71"/>
        <v>26.577361014917194</v>
      </c>
      <c r="AG206" s="20">
        <f t="shared" si="72"/>
        <v>847.16820018669716</v>
      </c>
      <c r="AH206" s="20">
        <f t="shared" si="73"/>
        <v>1266.367512707757</v>
      </c>
      <c r="AI206" s="20">
        <f t="shared" si="74"/>
        <v>0</v>
      </c>
      <c r="AJ206" s="20">
        <v>50</v>
      </c>
      <c r="AK206" s="25"/>
      <c r="AL206" s="20">
        <f t="shared" si="75"/>
        <v>2191.5868264489131</v>
      </c>
      <c r="AM206" s="25"/>
      <c r="AN206" s="20">
        <f t="shared" si="76"/>
        <v>41.12879499636</v>
      </c>
      <c r="AO206" s="20">
        <f t="shared" si="77"/>
        <v>6.4131735510868566</v>
      </c>
      <c r="AQ206" s="20">
        <f t="shared" si="78"/>
        <v>8.3656299978085055E-7</v>
      </c>
      <c r="AR206" s="20">
        <v>580</v>
      </c>
      <c r="AS206" s="20">
        <f t="shared" si="79"/>
        <v>2.9177313699212268E-2</v>
      </c>
    </row>
    <row r="207" spans="2:45" x14ac:dyDescent="0.3">
      <c r="B207" s="32">
        <v>308</v>
      </c>
      <c r="C207" s="32">
        <v>2152</v>
      </c>
      <c r="D207" s="7">
        <f t="shared" si="65"/>
        <v>581</v>
      </c>
      <c r="E207" s="17">
        <f>1/$E$29-LN($E$29)+($J$16*EXP($J$16/($D$14*$J$15))/(($D$14*$J$15^2)*(1-1.05*($J$17^1.26))))*'F(T,E)'!F187</f>
        <v>3139980.425991809</v>
      </c>
      <c r="F207" s="17">
        <f>1/$F$29-LN($F$29)+($K$16*EXP($K$16/($D$14*$K$15))/(($D$14*$K$15^2)*(1-1.05*($K$17^1.26))))*'F(T,E)'!G187</f>
        <v>386523.34217134182</v>
      </c>
      <c r="G207" s="17">
        <f>1/$G$29-LN($G$29)+($L$16*EXP($L$16/($D$14*$L$15))/(($D$14*$L$15^2)*(1-1.05*($L$17^1.26))))*'F(T,E)'!H187</f>
        <v>24141.2841156922</v>
      </c>
      <c r="H207" s="17">
        <f>1/$H$29-LN($H$29)+($M$16*EXP($M$16/($D$14*$M$15))/(($D$14*$M$15^2)*(1-1.05*($M$17^1.26))))*'F(T,E)'!I187</f>
        <v>7052.3065788996291</v>
      </c>
      <c r="I207" s="17">
        <f>1/$I$29-LN($I$29)+($N$16*EXP($N$16/($D$14*$N$15))/(($D$14*$N$15^2)*(1-1.05*($N$17^1.26))))*'F(T,E)'!J187</f>
        <v>5915.1605483884305</v>
      </c>
      <c r="J207" s="17">
        <f>1/$J$29-LN($J$29)+($O$16*EXP($O$16/($D$14*$O$15))/(($D$14*$O$15^2)*(1-1.05*($O$17^1.26))))*'F(T,E)'!K187</f>
        <v>49.335686630113891</v>
      </c>
      <c r="K207" s="17">
        <f>1/$K$29-LN($K$29)+($P$16*EXP($P$16/($D$14*$P$15))/(($D$14*$P$15^2)*(1-1.05*($P$17^1.26))))*'F(T,E)'!L187</f>
        <v>17.323560035219845</v>
      </c>
      <c r="L207" s="17">
        <f>1/$L$29-LN($L$29)+($Q$16*EXP($Q$16/($D$14*$Q$15))/(($D$14*$Q$15^2)*(1-1.05*($Q$17^1.26))))*'F(T,E)'!M187</f>
        <v>-0.89974606236666155</v>
      </c>
      <c r="M207" s="17">
        <f>1/$M$29-LN($M$29)+($R$16*EXP($R$16/($D$14*$R$15))/(($D$14*$R$15^2)*(1-1.05*($R$17^1.26))))*'F(T,E)'!N187</f>
        <v>2235.6568264711659</v>
      </c>
      <c r="N207" s="17">
        <f>1/$N$29-LN($N$29)+($S$16*EXP($S$16/($D$14*$S$15))/(($D$14*$S$15^2)*(1-1.05*($S$17^1.26))))*'F(T,E)'!O187</f>
        <v>-11.461590893321459</v>
      </c>
      <c r="O207" s="25"/>
      <c r="P207" s="20">
        <f t="shared" si="55"/>
        <v>3139965.466267067</v>
      </c>
      <c r="Q207" s="20">
        <f t="shared" si="56"/>
        <v>386510.4772404448</v>
      </c>
      <c r="R207" s="20">
        <f t="shared" si="57"/>
        <v>24131.192646017327</v>
      </c>
      <c r="S207" s="20">
        <f t="shared" si="58"/>
        <v>7043.4460971249946</v>
      </c>
      <c r="T207" s="20">
        <f t="shared" si="59"/>
        <v>5906.4760086234946</v>
      </c>
      <c r="U207" s="20">
        <f t="shared" si="60"/>
        <v>45.517587833064916</v>
      </c>
      <c r="V207" s="20">
        <f t="shared" si="61"/>
        <v>14.639815152932222</v>
      </c>
      <c r="W207" s="20">
        <f t="shared" si="62"/>
        <v>0.30097662215199106</v>
      </c>
      <c r="X207" s="20">
        <f t="shared" si="63"/>
        <v>2227.9462609629009</v>
      </c>
      <c r="Y207" s="20">
        <f t="shared" si="64"/>
        <v>1.0526639485205675E-5</v>
      </c>
      <c r="Z207" s="25"/>
      <c r="AA207" s="20">
        <f t="shared" si="66"/>
        <v>1.6178846982932427E-4</v>
      </c>
      <c r="AB207" s="20">
        <f t="shared" si="67"/>
        <v>1.8150265602354515E-3</v>
      </c>
      <c r="AC207" s="20">
        <f t="shared" si="68"/>
        <v>0.19202348562396354</v>
      </c>
      <c r="AD207" s="20">
        <f t="shared" si="69"/>
        <v>1.7860358420460716E-4</v>
      </c>
      <c r="AE207" s="20">
        <f t="shared" si="70"/>
        <v>1.1680629577155548</v>
      </c>
      <c r="AF207" s="20">
        <f t="shared" si="71"/>
        <v>24.599548693228861</v>
      </c>
      <c r="AG207" s="20">
        <f t="shared" si="72"/>
        <v>771.27681609569959</v>
      </c>
      <c r="AH207" s="20">
        <f t="shared" si="73"/>
        <v>1344.6827059879845</v>
      </c>
      <c r="AI207" s="20">
        <f t="shared" si="74"/>
        <v>0</v>
      </c>
      <c r="AJ207" s="20">
        <v>50</v>
      </c>
      <c r="AK207" s="25"/>
      <c r="AL207" s="20">
        <f t="shared" si="75"/>
        <v>2191.9213126388668</v>
      </c>
      <c r="AM207" s="25"/>
      <c r="AN207" s="20">
        <f t="shared" si="76"/>
        <v>1593.7112028101435</v>
      </c>
      <c r="AO207" s="20">
        <f t="shared" si="77"/>
        <v>39.921312638866766</v>
      </c>
      <c r="AQ207" s="20">
        <f t="shared" si="78"/>
        <v>5.2075143125823783E-6</v>
      </c>
      <c r="AR207" s="20">
        <v>581</v>
      </c>
      <c r="AS207" s="20">
        <f t="shared" si="79"/>
        <v>-0.18550795835904632</v>
      </c>
    </row>
    <row r="208" spans="2:45" x14ac:dyDescent="0.3">
      <c r="B208" s="32">
        <v>310</v>
      </c>
      <c r="C208" s="32">
        <v>2148</v>
      </c>
      <c r="D208" s="7">
        <f t="shared" si="65"/>
        <v>583</v>
      </c>
      <c r="E208" s="17">
        <f>1/$E$29-LN($E$29)+($J$16*EXP($J$16/($D$14*$J$15))/(($D$14*$J$15^2)*(1-1.05*($J$17^1.26))))*'F(T,E)'!F188</f>
        <v>3378048.1118274978</v>
      </c>
      <c r="F208" s="17">
        <f>1/$F$29-LN($F$29)+($K$16*EXP($K$16/($D$14*$K$15))/(($D$14*$K$15^2)*(1-1.05*($K$17^1.26))))*'F(T,E)'!G188</f>
        <v>424080.01664701011</v>
      </c>
      <c r="G208" s="17">
        <f>1/$G$29-LN($G$29)+($L$16*EXP($L$16/($D$14*$L$15))/(($D$14*$L$15^2)*(1-1.05*($L$17^1.26))))*'F(T,E)'!H188</f>
        <v>26678.18333409281</v>
      </c>
      <c r="H208" s="17">
        <f>1/$H$29-LN($H$29)+($M$16*EXP($M$16/($D$14*$M$15))/(($D$14*$M$15^2)*(1-1.05*($M$17^1.26))))*'F(T,E)'!I188</f>
        <v>7945.158718509605</v>
      </c>
      <c r="I208" s="17">
        <f>1/$I$29-LN($I$29)+($N$16*EXP($N$16/($D$14*$N$15))/(($D$14*$N$15^2)*(1-1.05*($N$17^1.26))))*'F(T,E)'!J188</f>
        <v>6924.5547544456276</v>
      </c>
      <c r="J208" s="17">
        <f>1/$J$29-LN($J$29)+($O$16*EXP($O$16/($D$14*$O$15))/(($D$14*$O$15^2)*(1-1.05*($O$17^1.26))))*'F(T,E)'!K188</f>
        <v>56.155701536026385</v>
      </c>
      <c r="K208" s="17">
        <f>1/$K$29-LN($K$29)+($P$16*EXP($P$16/($D$14*$P$15))/(($D$14*$P$15^2)*(1-1.05*($P$17^1.26))))*'F(T,E)'!L188</f>
        <v>20.334253126216229</v>
      </c>
      <c r="L208" s="17">
        <f>1/$L$29-LN($L$29)+($Q$16*EXP($Q$16/($D$14*$Q$15))/(($D$14*$Q$15^2)*(1-1.05*($Q$17^1.26))))*'F(T,E)'!M188</f>
        <v>-0.84739086423266763</v>
      </c>
      <c r="M208" s="17">
        <f>1/$M$29-LN($M$29)+($R$16*EXP($R$16/($D$14*$R$15))/(($D$14*$R$15^2)*(1-1.05*($R$17^1.26))))*'F(T,E)'!N188</f>
        <v>2294.1654770005453</v>
      </c>
      <c r="N208" s="17">
        <f>1/$N$29-LN($N$29)+($S$16*EXP($S$16/($D$14*$S$15))/(($D$14*$S$15^2)*(1-1.05*($S$17^1.26))))*'F(T,E)'!O188</f>
        <v>-11.455050759771254</v>
      </c>
      <c r="O208" s="25"/>
      <c r="P208" s="20">
        <f t="shared" si="55"/>
        <v>3378033.0790211041</v>
      </c>
      <c r="Q208" s="20">
        <f t="shared" si="56"/>
        <v>424067.05898485257</v>
      </c>
      <c r="R208" s="20">
        <f t="shared" si="57"/>
        <v>26667.99192369606</v>
      </c>
      <c r="S208" s="20">
        <f t="shared" si="58"/>
        <v>7936.1789655977082</v>
      </c>
      <c r="T208" s="20">
        <f t="shared" si="59"/>
        <v>6915.7125639244896</v>
      </c>
      <c r="U208" s="20">
        <f t="shared" si="60"/>
        <v>52.200607405092605</v>
      </c>
      <c r="V208" s="20">
        <f t="shared" si="61"/>
        <v>17.473564015141385</v>
      </c>
      <c r="W208" s="20">
        <f t="shared" si="62"/>
        <v>0.31327691210802316</v>
      </c>
      <c r="X208" s="20">
        <f t="shared" si="63"/>
        <v>2286.4290390498954</v>
      </c>
      <c r="Y208" s="20">
        <f t="shared" si="64"/>
        <v>1.0595710002820039E-5</v>
      </c>
      <c r="Z208" s="25"/>
      <c r="AA208" s="20">
        <f t="shared" si="66"/>
        <v>1.4941536463733754E-4</v>
      </c>
      <c r="AB208" s="20">
        <f t="shared" si="67"/>
        <v>1.6434355963880997E-3</v>
      </c>
      <c r="AC208" s="20">
        <f t="shared" si="68"/>
        <v>0.17260664257648359</v>
      </c>
      <c r="AD208" s="20">
        <f t="shared" si="69"/>
        <v>1.5741597727384103E-4</v>
      </c>
      <c r="AE208" s="20">
        <f t="shared" si="70"/>
        <v>0.99067014471351356</v>
      </c>
      <c r="AF208" s="20">
        <f t="shared" si="71"/>
        <v>21.123073103264478</v>
      </c>
      <c r="AG208" s="20">
        <f t="shared" si="72"/>
        <v>639.5305667439028</v>
      </c>
      <c r="AH208" s="20">
        <f t="shared" si="73"/>
        <v>1506.361648150287</v>
      </c>
      <c r="AI208" s="20">
        <f t="shared" si="74"/>
        <v>0</v>
      </c>
      <c r="AJ208" s="20">
        <v>50</v>
      </c>
      <c r="AK208" s="25"/>
      <c r="AL208" s="20">
        <f t="shared" si="75"/>
        <v>2218.1805150516825</v>
      </c>
      <c r="AM208" s="25"/>
      <c r="AN208" s="20">
        <f t="shared" si="76"/>
        <v>4925.3046929194343</v>
      </c>
      <c r="AO208" s="20">
        <f t="shared" si="77"/>
        <v>70.180515051682505</v>
      </c>
      <c r="AQ208" s="20">
        <f t="shared" si="78"/>
        <v>9.1546598154747969E-6</v>
      </c>
      <c r="AR208" s="20">
        <v>583</v>
      </c>
      <c r="AS208" s="20">
        <f t="shared" si="79"/>
        <v>-0.32672493040820533</v>
      </c>
    </row>
    <row r="209" spans="2:45" x14ac:dyDescent="0.3">
      <c r="B209" s="32">
        <v>311</v>
      </c>
      <c r="C209" s="32">
        <v>2152</v>
      </c>
      <c r="D209" s="7">
        <f t="shared" si="65"/>
        <v>584</v>
      </c>
      <c r="E209" s="17">
        <f>1/$E$29-LN($E$29)+($J$16*EXP($J$16/($D$14*$J$15))/(($D$14*$J$15^2)*(1-1.05*($J$17^1.26))))*'F(T,E)'!F189</f>
        <v>3503136.9520922503</v>
      </c>
      <c r="F209" s="17">
        <f>1/$F$29-LN($F$29)+($K$16*EXP($K$16/($D$14*$K$15))/(($D$14*$K$15^2)*(1-1.05*($K$17^1.26))))*'F(T,E)'!G189</f>
        <v>444103.17393011571</v>
      </c>
      <c r="G209" s="17">
        <f>1/$G$29-LN($G$29)+($L$16*EXP($L$16/($D$14*$L$15))/(($D$14*$L$15^2)*(1-1.05*($L$17^1.26))))*'F(T,E)'!H189</f>
        <v>28037.937180062141</v>
      </c>
      <c r="H209" s="17">
        <f>1/$H$29-LN($H$29)+($M$16*EXP($M$16/($D$14*$M$15))/(($D$14*$M$15^2)*(1-1.05*($M$17^1.26))))*'F(T,E)'!I189</f>
        <v>8430.5417009322773</v>
      </c>
      <c r="I209" s="17">
        <f>1/$I$29-LN($I$29)+($N$16*EXP($N$16/($D$14*$N$15))/(($D$14*$N$15^2)*(1-1.05*($N$17^1.26))))*'F(T,E)'!J189</f>
        <v>7489.106871400475</v>
      </c>
      <c r="J209" s="17">
        <f>1/$J$29-LN($J$29)+($O$16*EXP($O$16/($D$14*$O$15))/(($D$14*$O$15^2)*(1-1.05*($O$17^1.26))))*'F(T,E)'!K189</f>
        <v>59.881183613707186</v>
      </c>
      <c r="K209" s="17">
        <f>1/$K$29-LN($K$29)+($P$16*EXP($P$16/($D$14*$P$15))/(($D$14*$P$15^2)*(1-1.05*($P$17^1.26))))*'F(T,E)'!L189</f>
        <v>22.024864529354062</v>
      </c>
      <c r="L209" s="17">
        <f>1/$L$29-LN($L$29)+($Q$16*EXP($Q$16/($D$14*$Q$15))/(($D$14*$Q$15^2)*(1-1.05*($Q$17^1.26))))*'F(T,E)'!M189</f>
        <v>-0.81784241560693149</v>
      </c>
      <c r="M209" s="17">
        <f>1/$M$29-LN($M$29)+($R$16*EXP($R$16/($D$14*$R$15))/(($D$14*$R$15^2)*(1-1.05*($R$17^1.26))))*'F(T,E)'!N189</f>
        <v>2323.8420511446502</v>
      </c>
      <c r="N209" s="17">
        <f>1/$N$29-LN($N$29)+($S$16*EXP($S$16/($D$14*$S$15))/(($D$14*$S$15^2)*(1-1.05*($S$17^1.26))))*'F(T,E)'!O189</f>
        <v>-11.451492872153647</v>
      </c>
      <c r="O209" s="25"/>
      <c r="P209" s="20">
        <f t="shared" si="55"/>
        <v>3503121.8829250042</v>
      </c>
      <c r="Q209" s="20">
        <f t="shared" si="56"/>
        <v>444090.17013256811</v>
      </c>
      <c r="R209" s="20">
        <f t="shared" si="57"/>
        <v>28027.696048923895</v>
      </c>
      <c r="S209" s="20">
        <f t="shared" si="58"/>
        <v>8421.5026207477349</v>
      </c>
      <c r="T209" s="20">
        <f t="shared" si="59"/>
        <v>7480.1862621859427</v>
      </c>
      <c r="U209" s="20">
        <f t="shared" si="60"/>
        <v>55.858364335123987</v>
      </c>
      <c r="V209" s="20">
        <f t="shared" si="61"/>
        <v>19.076411934752393</v>
      </c>
      <c r="W209" s="20">
        <f t="shared" si="62"/>
        <v>0.3203860835954464</v>
      </c>
      <c r="X209" s="20">
        <f t="shared" si="63"/>
        <v>2316.0927417006073</v>
      </c>
      <c r="Y209" s="20">
        <f t="shared" si="64"/>
        <v>1.0633475089508176E-5</v>
      </c>
      <c r="Z209" s="25"/>
      <c r="AA209" s="20">
        <f t="shared" si="66"/>
        <v>1.4361544084592797E-4</v>
      </c>
      <c r="AB209" s="20">
        <f t="shared" si="67"/>
        <v>1.5641970360703056E-3</v>
      </c>
      <c r="AC209" s="20">
        <f t="shared" si="68"/>
        <v>0.16369005334342052</v>
      </c>
      <c r="AD209" s="20">
        <f t="shared" si="69"/>
        <v>1.4783336049998855E-4</v>
      </c>
      <c r="AE209" s="20">
        <f t="shared" si="70"/>
        <v>0.91274452945400208</v>
      </c>
      <c r="AF209" s="20">
        <f t="shared" si="71"/>
        <v>19.595074316764986</v>
      </c>
      <c r="AG209" s="20">
        <f t="shared" si="72"/>
        <v>582.56517537069669</v>
      </c>
      <c r="AH209" s="20">
        <f t="shared" si="73"/>
        <v>1588.742358515409</v>
      </c>
      <c r="AI209" s="20">
        <f t="shared" si="74"/>
        <v>0</v>
      </c>
      <c r="AJ209" s="20">
        <v>50</v>
      </c>
      <c r="AK209" s="25"/>
      <c r="AL209" s="20">
        <f t="shared" si="75"/>
        <v>2241.9808984315055</v>
      </c>
      <c r="AM209" s="25"/>
      <c r="AN209" s="20">
        <f t="shared" si="76"/>
        <v>8096.5620825409032</v>
      </c>
      <c r="AO209" s="20">
        <f t="shared" si="77"/>
        <v>89.980898431505466</v>
      </c>
      <c r="AQ209" s="20">
        <f t="shared" si="78"/>
        <v>1.1737510253730659E-5</v>
      </c>
      <c r="AR209" s="20">
        <v>584</v>
      </c>
      <c r="AS209" s="20">
        <f t="shared" si="79"/>
        <v>-0.4181268514475161</v>
      </c>
    </row>
    <row r="210" spans="2:45" x14ac:dyDescent="0.3">
      <c r="B210" s="32">
        <v>313</v>
      </c>
      <c r="C210" s="32">
        <v>2234</v>
      </c>
      <c r="D210" s="7">
        <f t="shared" si="65"/>
        <v>586</v>
      </c>
      <c r="E210" s="17">
        <f>1/$E$29-LN($E$29)+($J$16*EXP($J$16/($D$14*$J$15))/(($D$14*$J$15^2)*(1-1.05*($J$17^1.26))))*'F(T,E)'!F190</f>
        <v>3766037.836347702</v>
      </c>
      <c r="F210" s="17">
        <f>1/$F$29-LN($F$29)+($K$16*EXP($K$16/($D$14*$K$15))/(($D$14*$K$15^2)*(1-1.05*($K$17^1.26))))*'F(T,E)'!G190</f>
        <v>486808.05581399973</v>
      </c>
      <c r="G210" s="17">
        <f>1/$G$29-LN($G$29)+($L$16*EXP($L$16/($D$14*$L$15))/(($D$14*$L$15^2)*(1-1.05*($L$17^1.26))))*'F(T,E)'!H190</f>
        <v>30953.606066733217</v>
      </c>
      <c r="H210" s="17">
        <f>1/$H$29-LN($H$29)+($M$16*EXP($M$16/($D$14*$M$15))/(($D$14*$M$15^2)*(1-1.05*($M$17^1.26))))*'F(T,E)'!I190</f>
        <v>9486.3388312415027</v>
      </c>
      <c r="I210" s="17">
        <f>1/$I$29-LN($I$29)+($N$16*EXP($N$16/($D$14*$N$15))/(($D$14*$N$15^2)*(1-1.05*($N$17^1.26))))*'F(T,E)'!J190</f>
        <v>8753.0816403631052</v>
      </c>
      <c r="J210" s="17">
        <f>1/$J$29-LN($J$29)+($O$16*EXP($O$16/($D$14*$O$15))/(($D$14*$O$15^2)*(1-1.05*($O$17^1.26))))*'F(T,E)'!K190</f>
        <v>68.024454917165926</v>
      </c>
      <c r="K210" s="17">
        <f>1/$K$29-LN($K$29)+($P$16*EXP($P$16/($D$14*$P$15))/(($D$14*$P$15^2)*(1-1.05*($P$17^1.26))))*'F(T,E)'!L190</f>
        <v>25.825417349740999</v>
      </c>
      <c r="L210" s="17">
        <f>1/$L$29-LN($L$29)+($Q$16*EXP($Q$16/($D$14*$Q$15))/(($D$14*$Q$15^2)*(1-1.05*($Q$17^1.26))))*'F(T,E)'!M190</f>
        <v>-0.75107243065338491</v>
      </c>
      <c r="M210" s="17">
        <f>1/$M$29-LN($M$29)+($R$16*EXP($R$16/($D$14*$R$15))/(($D$14*$R$15^2)*(1-1.05*($R$17^1.26))))*'F(T,E)'!N190</f>
        <v>2384.0477263358234</v>
      </c>
      <c r="N210" s="17">
        <f>1/$N$29-LN($N$29)+($S$16*EXP($S$16/($D$14*$S$15))/(($D$14*$S$15^2)*(1-1.05*($S$17^1.26))))*'F(T,E)'!O190</f>
        <v>-11.443748384418956</v>
      </c>
      <c r="O210" s="25"/>
      <c r="P210" s="20">
        <f t="shared" si="55"/>
        <v>3766022.6948156771</v>
      </c>
      <c r="Q210" s="20">
        <f t="shared" si="56"/>
        <v>486794.96020226175</v>
      </c>
      <c r="R210" s="20">
        <f t="shared" si="57"/>
        <v>30943.265988977346</v>
      </c>
      <c r="S210" s="20">
        <f t="shared" si="58"/>
        <v>9477.1817058900815</v>
      </c>
      <c r="T210" s="20">
        <f t="shared" si="59"/>
        <v>8744.004997770593</v>
      </c>
      <c r="U210" s="20">
        <f t="shared" si="60"/>
        <v>63.867642067951195</v>
      </c>
      <c r="V210" s="20">
        <f t="shared" si="61"/>
        <v>22.702923638882535</v>
      </c>
      <c r="W210" s="20">
        <f t="shared" si="62"/>
        <v>0.33689916787269847</v>
      </c>
      <c r="X210" s="20">
        <f t="shared" si="63"/>
        <v>2376.2728022446458</v>
      </c>
      <c r="Y210" s="20">
        <f t="shared" si="64"/>
        <v>1.0716144728253848E-5</v>
      </c>
      <c r="Z210" s="25"/>
      <c r="AA210" s="20">
        <f t="shared" si="66"/>
        <v>1.3273198657558802E-4</v>
      </c>
      <c r="AB210" s="20">
        <f t="shared" si="67"/>
        <v>1.417669793237551E-3</v>
      </c>
      <c r="AC210" s="20">
        <f t="shared" si="68"/>
        <v>0.1472909884060456</v>
      </c>
      <c r="AD210" s="20">
        <f t="shared" si="69"/>
        <v>1.3046796854438025E-4</v>
      </c>
      <c r="AE210" s="20">
        <f t="shared" si="70"/>
        <v>0.77546281426102048</v>
      </c>
      <c r="AF210" s="20">
        <f t="shared" si="71"/>
        <v>16.897328350790069</v>
      </c>
      <c r="AG210" s="20">
        <f t="shared" si="72"/>
        <v>483.91138795433602</v>
      </c>
      <c r="AH210" s="20">
        <f t="shared" si="73"/>
        <v>1753.4651045261612</v>
      </c>
      <c r="AI210" s="20">
        <f t="shared" si="74"/>
        <v>0</v>
      </c>
      <c r="AJ210" s="20">
        <v>50</v>
      </c>
      <c r="AK210" s="25"/>
      <c r="AL210" s="20">
        <f t="shared" si="75"/>
        <v>2305.198255503703</v>
      </c>
      <c r="AM210" s="25"/>
      <c r="AN210" s="20">
        <f t="shared" si="76"/>
        <v>5069.1915867705702</v>
      </c>
      <c r="AO210" s="20">
        <f t="shared" si="77"/>
        <v>71.198255503702967</v>
      </c>
      <c r="AQ210" s="20">
        <f t="shared" si="78"/>
        <v>9.2874184253515344E-6</v>
      </c>
      <c r="AR210" s="20">
        <v>586</v>
      </c>
      <c r="AS210" s="20">
        <f t="shared" si="79"/>
        <v>-0.31870302374083692</v>
      </c>
    </row>
    <row r="211" spans="2:45" x14ac:dyDescent="0.3">
      <c r="B211" s="32">
        <v>314</v>
      </c>
      <c r="C211" s="32">
        <v>2240</v>
      </c>
      <c r="D211" s="7">
        <f t="shared" si="65"/>
        <v>587</v>
      </c>
      <c r="E211" s="17">
        <f>1/$E$29-LN($E$29)+($J$16*EXP($J$16/($D$14*$J$15))/(($D$14*$J$15^2)*(1-1.05*($J$17^1.26))))*'F(T,E)'!F191</f>
        <v>3904104.8787277201</v>
      </c>
      <c r="F211" s="17">
        <f>1/$F$29-LN($F$29)+($K$16*EXP($K$16/($D$14*$K$15))/(($D$14*$K$15^2)*(1-1.05*($K$17^1.26))))*'F(T,E)'!G191</f>
        <v>509561.06283058162</v>
      </c>
      <c r="G211" s="17">
        <f>1/$G$29-LN($G$29)+($L$16*EXP($L$16/($D$14*$L$15))/(($D$14*$L$15^2)*(1-1.05*($L$17^1.26))))*'F(T,E)'!H191</f>
        <v>32515.270560648365</v>
      </c>
      <c r="H211" s="17">
        <f>1/$H$29-LN($H$29)+($M$16*EXP($M$16/($D$14*$M$15))/(($D$14*$M$15^2)*(1-1.05*($M$17^1.26))))*'F(T,E)'!I191</f>
        <v>10059.815481779224</v>
      </c>
      <c r="I211" s="17">
        <f>1/$I$29-LN($I$29)+($N$16*EXP($N$16/($D$14*$N$15))/(($D$14*$N$15^2)*(1-1.05*($N$17^1.26))))*'F(T,E)'!J191</f>
        <v>9459.2159295796719</v>
      </c>
      <c r="J211" s="17">
        <f>1/$J$29-LN($J$29)+($O$16*EXP($O$16/($D$14*$O$15))/(($D$14*$O$15^2)*(1-1.05*($O$17^1.26))))*'F(T,E)'!K191</f>
        <v>72.468773357240863</v>
      </c>
      <c r="K211" s="17">
        <f>1/$K$29-LN($K$29)+($P$16*EXP($P$16/($D$14*$P$15))/(($D$14*$P$15^2)*(1-1.05*($P$17^1.26))))*'F(T,E)'!L191</f>
        <v>27.957049495062115</v>
      </c>
      <c r="L211" s="17">
        <f>1/$L$29-LN($L$29)+($Q$16*EXP($Q$16/($D$14*$Q$15))/(($D$14*$Q$15^2)*(1-1.05*($Q$17^1.26))))*'F(T,E)'!M191</f>
        <v>-0.71343480751820665</v>
      </c>
      <c r="M211" s="17">
        <f>1/$M$29-LN($M$29)+($R$16*EXP($R$16/($D$14*$R$15))/(($D$14*$R$15^2)*(1-1.05*($R$17^1.26))))*'F(T,E)'!N191</f>
        <v>2414.5800382609332</v>
      </c>
      <c r="N211" s="17">
        <f>1/$N$29-LN($N$29)+($S$16*EXP($S$16/($D$14*$S$15))/(($D$14*$S$15^2)*(1-1.05*($S$17^1.26))))*'F(T,E)'!O191</f>
        <v>-11.439538932757845</v>
      </c>
      <c r="O211" s="25"/>
      <c r="P211" s="20">
        <f t="shared" si="55"/>
        <v>3904089.7011905732</v>
      </c>
      <c r="Q211" s="20">
        <f t="shared" si="56"/>
        <v>509547.92153850337</v>
      </c>
      <c r="R211" s="20">
        <f t="shared" si="57"/>
        <v>32504.881255289853</v>
      </c>
      <c r="S211" s="20">
        <f t="shared" si="58"/>
        <v>10050.599635752716</v>
      </c>
      <c r="T211" s="20">
        <f t="shared" si="59"/>
        <v>9450.0616687098791</v>
      </c>
      <c r="U211" s="20">
        <f t="shared" si="60"/>
        <v>68.245659521946195</v>
      </c>
      <c r="V211" s="20">
        <f t="shared" si="61"/>
        <v>24.748292978972557</v>
      </c>
      <c r="W211" s="20">
        <f t="shared" si="62"/>
        <v>0.34648395624093181</v>
      </c>
      <c r="X211" s="20">
        <f t="shared" si="63"/>
        <v>2406.7923705751655</v>
      </c>
      <c r="Y211" s="20">
        <f t="shared" si="64"/>
        <v>1.0761348410660644E-5</v>
      </c>
      <c r="Z211" s="25"/>
      <c r="AA211" s="20">
        <f t="shared" si="66"/>
        <v>1.2762731698163642E-4</v>
      </c>
      <c r="AB211" s="20">
        <f t="shared" si="67"/>
        <v>1.349954880671141E-3</v>
      </c>
      <c r="AC211" s="20">
        <f t="shared" si="68"/>
        <v>0.1397540663909255</v>
      </c>
      <c r="AD211" s="20">
        <f t="shared" si="69"/>
        <v>1.2260551864414637E-4</v>
      </c>
      <c r="AE211" s="20">
        <f t="shared" si="70"/>
        <v>0.7150728175808434</v>
      </c>
      <c r="AF211" s="20">
        <f t="shared" si="71"/>
        <v>15.706435925544763</v>
      </c>
      <c r="AG211" s="20">
        <f t="shared" si="72"/>
        <v>441.31171348368167</v>
      </c>
      <c r="AH211" s="20">
        <f t="shared" si="73"/>
        <v>1834.282355711458</v>
      </c>
      <c r="AI211" s="20">
        <f t="shared" si="74"/>
        <v>0</v>
      </c>
      <c r="AJ211" s="20">
        <v>50</v>
      </c>
      <c r="AK211" s="25"/>
      <c r="AL211" s="20">
        <f t="shared" si="75"/>
        <v>2342.1569321923726</v>
      </c>
      <c r="AM211" s="25"/>
      <c r="AN211" s="20">
        <f t="shared" si="76"/>
        <v>10436.038794957003</v>
      </c>
      <c r="AO211" s="20">
        <f t="shared" si="77"/>
        <v>102.15693219237255</v>
      </c>
      <c r="AQ211" s="20">
        <f t="shared" si="78"/>
        <v>1.3325806476697778E-5</v>
      </c>
      <c r="AR211" s="20">
        <v>587</v>
      </c>
      <c r="AS211" s="20">
        <f t="shared" si="79"/>
        <v>-0.45605773300166319</v>
      </c>
    </row>
    <row r="212" spans="2:45" x14ac:dyDescent="0.3">
      <c r="B212" s="32">
        <v>316</v>
      </c>
      <c r="C212" s="32">
        <v>2288</v>
      </c>
      <c r="D212" s="7">
        <f t="shared" si="65"/>
        <v>589</v>
      </c>
      <c r="E212" s="17">
        <f>1/$E$29-LN($E$29)+($J$16*EXP($J$16/($D$14*$J$15))/(($D$14*$J$15^2)*(1-1.05*($J$17^1.26))))*'F(T,E)'!F192</f>
        <v>4194134.8142673369</v>
      </c>
      <c r="F212" s="17">
        <f>1/$F$29-LN($F$29)+($K$16*EXP($K$16/($D$14*$K$15))/(($D$14*$K$15^2)*(1-1.05*($K$17^1.26))))*'F(T,E)'!G192</f>
        <v>558056.1787459664</v>
      </c>
      <c r="G212" s="17">
        <f>1/$G$29-LN($G$29)+($L$16*EXP($L$16/($D$14*$L$15))/(($D$14*$L$15^2)*(1-1.05*($L$17^1.26))))*'F(T,E)'!H192</f>
        <v>35861.502075530429</v>
      </c>
      <c r="H212" s="17">
        <f>1/$H$29-LN($H$29)+($M$16*EXP($M$16/($D$14*$M$15))/(($D$14*$M$15^2)*(1-1.05*($M$17^1.26))))*'F(T,E)'!I192</f>
        <v>11306.160327634527</v>
      </c>
      <c r="I212" s="17">
        <f>1/$I$29-LN($I$29)+($N$16*EXP($N$16/($D$14*$N$15))/(($D$14*$N$15^2)*(1-1.05*($N$17^1.26))))*'F(T,E)'!J192</f>
        <v>11038.350711668476</v>
      </c>
      <c r="J212" s="17">
        <f>1/$J$29-LN($J$29)+($O$16*EXP($O$16/($D$14*$O$15))/(($D$14*$O$15^2)*(1-1.05*($O$17^1.26))))*'F(T,E)'!K192</f>
        <v>82.174462098224581</v>
      </c>
      <c r="K212" s="17">
        <f>1/$K$29-LN($K$29)+($P$16*EXP($P$16/($D$14*$P$15))/(($D$14*$P$15^2)*(1-1.05*($P$17^1.26))))*'F(T,E)'!L192</f>
        <v>32.74329023510888</v>
      </c>
      <c r="L212" s="17">
        <f>1/$L$29-LN($L$29)+($Q$16*EXP($Q$16/($D$14*$Q$15))/(($D$14*$Q$15^2)*(1-1.05*($Q$17^1.26))))*'F(T,E)'!M192</f>
        <v>-0.62849232700620816</v>
      </c>
      <c r="M212" s="17">
        <f>1/$M$29-LN($M$29)+($R$16*EXP($R$16/($D$14*$R$15))/(($D$14*$R$15^2)*(1-1.05*($R$17^1.26))))*'F(T,E)'!N192</f>
        <v>2476.5116352274586</v>
      </c>
      <c r="N212" s="17">
        <f>1/$N$29-LN($N$29)+($S$16*EXP($S$16/($D$14*$S$15))/(($D$14*$S$15^2)*(1-1.05*($S$17^1.26))))*'F(T,E)'!O192</f>
        <v>-11.430384120978557</v>
      </c>
      <c r="O212" s="25"/>
      <c r="P212" s="20">
        <f t="shared" si="55"/>
        <v>4194119.5650715204</v>
      </c>
      <c r="Q212" s="20">
        <f t="shared" si="56"/>
        <v>558042.94654290704</v>
      </c>
      <c r="R212" s="20">
        <f t="shared" si="57"/>
        <v>35851.014802118072</v>
      </c>
      <c r="S212" s="20">
        <f t="shared" si="58"/>
        <v>11296.827637360782</v>
      </c>
      <c r="T212" s="20">
        <f t="shared" si="59"/>
        <v>11029.042002424048</v>
      </c>
      <c r="U212" s="20">
        <f t="shared" si="60"/>
        <v>77.820062823377597</v>
      </c>
      <c r="V212" s="20">
        <f t="shared" si="61"/>
        <v>29.363536582799366</v>
      </c>
      <c r="W212" s="20">
        <f t="shared" si="62"/>
        <v>0.36885616922352871</v>
      </c>
      <c r="X212" s="20">
        <f t="shared" si="63"/>
        <v>2468.6986067218941</v>
      </c>
      <c r="Y212" s="20">
        <f t="shared" si="64"/>
        <v>1.086031779173041E-5</v>
      </c>
      <c r="Z212" s="25"/>
      <c r="AA212" s="20">
        <f t="shared" si="66"/>
        <v>1.1804294380841001E-4</v>
      </c>
      <c r="AB212" s="20">
        <f t="shared" si="67"/>
        <v>1.2246460580417127E-3</v>
      </c>
      <c r="AC212" s="20">
        <f t="shared" si="68"/>
        <v>0.12588142440415431</v>
      </c>
      <c r="AD212" s="20">
        <f t="shared" si="69"/>
        <v>1.0834254196799026E-4</v>
      </c>
      <c r="AE212" s="20">
        <f t="shared" si="70"/>
        <v>0.60854169081422138</v>
      </c>
      <c r="AF212" s="20">
        <f t="shared" si="71"/>
        <v>13.595474067916074</v>
      </c>
      <c r="AG212" s="20">
        <f t="shared" si="72"/>
        <v>367.55090189442399</v>
      </c>
      <c r="AH212" s="20">
        <f t="shared" si="73"/>
        <v>1988.3376664954183</v>
      </c>
      <c r="AI212" s="20">
        <f t="shared" si="74"/>
        <v>0</v>
      </c>
      <c r="AJ212" s="20">
        <v>50</v>
      </c>
      <c r="AK212" s="25"/>
      <c r="AL212" s="20">
        <f t="shared" si="75"/>
        <v>2420.2199166045207</v>
      </c>
      <c r="AM212" s="25"/>
      <c r="AN212" s="20">
        <f t="shared" si="76"/>
        <v>17482.106346906403</v>
      </c>
      <c r="AO212" s="20">
        <f t="shared" si="77"/>
        <v>132.21991660452068</v>
      </c>
      <c r="AQ212" s="20">
        <f t="shared" si="78"/>
        <v>1.7247356427256876E-5</v>
      </c>
      <c r="AR212" s="20">
        <v>589</v>
      </c>
      <c r="AS212" s="20">
        <f t="shared" si="79"/>
        <v>-0.57788425089388407</v>
      </c>
    </row>
    <row r="213" spans="2:45" x14ac:dyDescent="0.3">
      <c r="B213" s="32">
        <v>317</v>
      </c>
      <c r="C213" s="32">
        <v>2358</v>
      </c>
      <c r="D213" s="7">
        <f t="shared" si="65"/>
        <v>590</v>
      </c>
      <c r="E213" s="17">
        <f>1/$E$29-LN($E$29)+($J$16*EXP($J$16/($D$14*$J$15))/(($D$14*$J$15^2)*(1-1.05*($J$17^1.26))))*'F(T,E)'!F193</f>
        <v>4346373.1409034356</v>
      </c>
      <c r="F213" s="17">
        <f>1/$F$29-LN($F$29)+($K$16*EXP($K$16/($D$14*$K$15))/(($D$14*$K$15^2)*(1-1.05*($K$17^1.26))))*'F(T,E)'!G193</f>
        <v>583877.55791919574</v>
      </c>
      <c r="G213" s="17">
        <f>1/$G$29-LN($G$29)+($L$16*EXP($L$16/($D$14*$L$15))/(($D$14*$L$15^2)*(1-1.05*($L$17^1.26))))*'F(T,E)'!H193</f>
        <v>37652.531148744172</v>
      </c>
      <c r="H213" s="17">
        <f>1/$H$29-LN($H$29)+($M$16*EXP($M$16/($D$14*$M$15))/(($D$14*$M$15^2)*(1-1.05*($M$17^1.26))))*'F(T,E)'!I193</f>
        <v>11982.569281077896</v>
      </c>
      <c r="I213" s="17">
        <f>1/$I$29-LN($I$29)+($N$16*EXP($N$16/($D$14*$N$15))/(($D$14*$N$15^2)*(1-1.05*($N$17^1.26))))*'F(T,E)'!J193</f>
        <v>11919.564397725168</v>
      </c>
      <c r="J213" s="17">
        <f>1/$J$29-LN($J$29)+($O$16*EXP($O$16/($D$14*$O$15))/(($D$14*$O$15^2)*(1-1.05*($O$17^1.26))))*'F(T,E)'!K193</f>
        <v>87.46680110153595</v>
      </c>
      <c r="K213" s="17">
        <f>1/$K$29-LN($K$29)+($P$16*EXP($P$16/($D$14*$P$15))/(($D$14*$P$15^2)*(1-1.05*($P$17^1.26))))*'F(T,E)'!L193</f>
        <v>35.424655281949853</v>
      </c>
      <c r="L213" s="17">
        <f>1/$L$29-LN($L$29)+($Q$16*EXP($Q$16/($D$14*$Q$15))/(($D$14*$Q$15^2)*(1-1.05*($Q$17^1.26))))*'F(T,E)'!M193</f>
        <v>-0.58066898165461556</v>
      </c>
      <c r="M213" s="17">
        <f>1/$M$29-LN($M$29)+($R$16*EXP($R$16/($D$14*$R$15))/(($D$14*$R$15^2)*(1-1.05*($R$17^1.26))))*'F(T,E)'!N193</f>
        <v>2507.914128680698</v>
      </c>
      <c r="N213" s="17">
        <f>1/$N$29-LN($N$29)+($S$16*EXP($S$16/($D$14*$S$15))/(($D$14*$S$15^2)*(1-1.05*($S$17^1.26))))*'F(T,E)'!O193</f>
        <v>-11.425412304158531</v>
      </c>
      <c r="O213" s="25"/>
      <c r="P213" s="20">
        <f t="shared" si="55"/>
        <v>4346357.8560528997</v>
      </c>
      <c r="Q213" s="20">
        <f t="shared" si="56"/>
        <v>583864.28048398707</v>
      </c>
      <c r="R213" s="20">
        <f t="shared" si="57"/>
        <v>37641.995133197794</v>
      </c>
      <c r="S213" s="20">
        <f t="shared" si="58"/>
        <v>11973.178464634584</v>
      </c>
      <c r="T213" s="20">
        <f t="shared" si="59"/>
        <v>11910.178855048805</v>
      </c>
      <c r="U213" s="20">
        <f t="shared" si="60"/>
        <v>83.0473896964766</v>
      </c>
      <c r="V213" s="20">
        <f t="shared" si="61"/>
        <v>31.960164998411432</v>
      </c>
      <c r="W213" s="20">
        <f t="shared" si="62"/>
        <v>0.38190760077286212</v>
      </c>
      <c r="X213" s="20">
        <f t="shared" si="63"/>
        <v>2500.0884825198236</v>
      </c>
      <c r="Y213" s="20">
        <f t="shared" si="64"/>
        <v>1.0914447162229005E-5</v>
      </c>
      <c r="Z213" s="25"/>
      <c r="AA213" s="20">
        <f t="shared" si="66"/>
        <v>1.1354495757404674E-4</v>
      </c>
      <c r="AB213" s="20">
        <f t="shared" si="67"/>
        <v>1.1666943133226482E-3</v>
      </c>
      <c r="AC213" s="20">
        <f t="shared" si="68"/>
        <v>0.11950051316872094</v>
      </c>
      <c r="AD213" s="20">
        <f t="shared" si="69"/>
        <v>1.0187799130360505E-4</v>
      </c>
      <c r="AE213" s="20">
        <f t="shared" si="70"/>
        <v>0.56161550554003281</v>
      </c>
      <c r="AF213" s="20">
        <f t="shared" si="71"/>
        <v>12.659968998888159</v>
      </c>
      <c r="AG213" s="20">
        <f t="shared" si="72"/>
        <v>335.68384215251206</v>
      </c>
      <c r="AH213" s="20">
        <f t="shared" si="73"/>
        <v>2059.5324085312686</v>
      </c>
      <c r="AI213" s="20">
        <f t="shared" si="74"/>
        <v>0</v>
      </c>
      <c r="AJ213" s="20">
        <v>50</v>
      </c>
      <c r="AK213" s="25"/>
      <c r="AL213" s="20">
        <f t="shared" si="75"/>
        <v>2458.5587178186397</v>
      </c>
      <c r="AM213" s="25"/>
      <c r="AN213" s="20">
        <f t="shared" si="76"/>
        <v>10112.055729328808</v>
      </c>
      <c r="AO213" s="20">
        <f t="shared" si="77"/>
        <v>100.55871781863971</v>
      </c>
      <c r="AQ213" s="20">
        <f t="shared" si="78"/>
        <v>1.3117328256027103E-5</v>
      </c>
      <c r="AR213" s="20">
        <v>590</v>
      </c>
      <c r="AS213" s="20">
        <f t="shared" si="79"/>
        <v>-0.42645766674571545</v>
      </c>
    </row>
    <row r="214" spans="2:45" x14ac:dyDescent="0.3">
      <c r="B214" s="32">
        <v>319</v>
      </c>
      <c r="C214" s="32">
        <v>2400</v>
      </c>
      <c r="D214" s="7">
        <f t="shared" si="65"/>
        <v>592</v>
      </c>
      <c r="E214" s="17">
        <f>1/$E$29-LN($E$29)+($J$16*EXP($J$16/($D$14*$J$15))/(($D$14*$J$15^2)*(1-1.05*($J$17^1.26))))*'F(T,E)'!F194</f>
        <v>4666011.9429355506</v>
      </c>
      <c r="F214" s="17">
        <f>1/$F$29-LN($F$29)+($K$16*EXP($K$16/($D$14*$K$15))/(($D$14*$K$15^2)*(1-1.05*($K$17^1.26))))*'F(T,E)'!G194</f>
        <v>638876.86709701887</v>
      </c>
      <c r="G214" s="17">
        <f>1/$G$29-LN($G$29)+($L$16*EXP($L$16/($D$14*$L$15))/(($D$14*$L$15^2)*(1-1.05*($L$17^1.26))))*'F(T,E)'!H194</f>
        <v>41487.536350763388</v>
      </c>
      <c r="H214" s="17">
        <f>1/$H$29-LN($H$29)+($M$16*EXP($M$16/($D$14*$M$15))/(($D$14*$M$15^2)*(1-1.05*($M$17^1.26))))*'F(T,E)'!I194</f>
        <v>13451.374110947125</v>
      </c>
      <c r="I214" s="17">
        <f>1/$I$29-LN($I$29)+($N$16*EXP($N$16/($D$14*$N$15))/(($D$14*$N$15^2)*(1-1.05*($N$17^1.26))))*'F(T,E)'!J194</f>
        <v>13887.987107973258</v>
      </c>
      <c r="J214" s="17">
        <f>1/$J$29-LN($J$29)+($O$16*EXP($O$16/($D$14*$O$15))/(($D$14*$O$15^2)*(1-1.05*($O$17^1.26))))*'F(T,E)'!K194</f>
        <v>99.014080062732717</v>
      </c>
      <c r="K214" s="17">
        <f>1/$K$29-LN($K$29)+($P$16*EXP($P$16/($D$14*$P$15))/(($D$14*$P$15^2)*(1-1.05*($P$17^1.26))))*'F(T,E)'!L194</f>
        <v>41.438130205616275</v>
      </c>
      <c r="L214" s="17">
        <f>1/$L$29-LN($L$29)+($Q$16*EXP($Q$16/($D$14*$Q$15))/(($D$14*$Q$15^2)*(1-1.05*($Q$17^1.26))))*'F(T,E)'!M194</f>
        <v>-0.47287185153481859</v>
      </c>
      <c r="M214" s="17">
        <f>1/$M$29-LN($M$29)+($R$16*EXP($R$16/($D$14*$R$15))/(($D$14*$R$15^2)*(1-1.05*($R$17^1.26))))*'F(T,E)'!N194</f>
        <v>2571.6005223409429</v>
      </c>
      <c r="N214" s="17">
        <f>1/$N$29-LN($N$29)+($S$16*EXP($S$16/($D$14*$S$15))/(($D$14*$S$15^2)*(1-1.05*($S$17^1.26))))*'F(T,E)'!O194</f>
        <v>-11.41460871165426</v>
      </c>
      <c r="O214" s="25"/>
      <c r="P214" s="20">
        <f t="shared" si="55"/>
        <v>4665996.5871219048</v>
      </c>
      <c r="Q214" s="20">
        <f t="shared" si="56"/>
        <v>638863.49964046199</v>
      </c>
      <c r="R214" s="20">
        <f t="shared" si="57"/>
        <v>41476.90333057988</v>
      </c>
      <c r="S214" s="20">
        <f t="shared" si="58"/>
        <v>13441.867627780826</v>
      </c>
      <c r="T214" s="20">
        <f t="shared" si="59"/>
        <v>13878.448671883003</v>
      </c>
      <c r="U214" s="20">
        <f t="shared" si="60"/>
        <v>94.465841756470965</v>
      </c>
      <c r="V214" s="20">
        <f t="shared" si="61"/>
        <v>37.805671085526292</v>
      </c>
      <c r="W214" s="20">
        <f t="shared" si="62"/>
        <v>0.41254299552603924</v>
      </c>
      <c r="X214" s="20">
        <f t="shared" si="63"/>
        <v>2563.7497653164164</v>
      </c>
      <c r="Y214" s="20">
        <f t="shared" si="64"/>
        <v>1.103300034788701E-5</v>
      </c>
      <c r="Z214" s="25"/>
      <c r="AA214" s="20">
        <f t="shared" si="66"/>
        <v>1.0509485145621197E-4</v>
      </c>
      <c r="AB214" s="20">
        <f t="shared" si="67"/>
        <v>1.0593757866163584E-3</v>
      </c>
      <c r="AC214" s="20">
        <f t="shared" si="68"/>
        <v>0.10774648292339471</v>
      </c>
      <c r="AD214" s="20">
        <f t="shared" si="69"/>
        <v>9.0139081891514063E-5</v>
      </c>
      <c r="AE214" s="20">
        <f t="shared" si="70"/>
        <v>0.47872846430055133</v>
      </c>
      <c r="AF214" s="20">
        <f t="shared" si="71"/>
        <v>10.995762477331738</v>
      </c>
      <c r="AG214" s="20">
        <f t="shared" si="72"/>
        <v>280.44192662549142</v>
      </c>
      <c r="AH214" s="20">
        <f t="shared" si="73"/>
        <v>2184.6769682130407</v>
      </c>
      <c r="AI214" s="20">
        <f t="shared" si="74"/>
        <v>0</v>
      </c>
      <c r="AJ214" s="20">
        <v>50</v>
      </c>
      <c r="AK214" s="25"/>
      <c r="AL214" s="20">
        <f t="shared" si="75"/>
        <v>2526.7023868728079</v>
      </c>
      <c r="AM214" s="25"/>
      <c r="AN214" s="20">
        <f t="shared" si="76"/>
        <v>16053.494839266681</v>
      </c>
      <c r="AO214" s="20">
        <f t="shared" si="77"/>
        <v>126.70238687280789</v>
      </c>
      <c r="AQ214" s="20">
        <f t="shared" si="78"/>
        <v>1.6527625207296453E-5</v>
      </c>
      <c r="AR214" s="20">
        <v>592</v>
      </c>
      <c r="AS214" s="20">
        <f t="shared" si="79"/>
        <v>-0.52792661197003288</v>
      </c>
    </row>
    <row r="215" spans="2:45" x14ac:dyDescent="0.3">
      <c r="B215" s="32">
        <v>320</v>
      </c>
      <c r="C215" s="32">
        <v>2458</v>
      </c>
      <c r="D215" s="7">
        <f t="shared" si="65"/>
        <v>593</v>
      </c>
      <c r="E215" s="17">
        <f>1/$E$29-LN($E$29)+($J$16*EXP($J$16/($D$14*$J$15))/(($D$14*$J$15^2)*(1-1.05*($J$17^1.26))))*'F(T,E)'!F195</f>
        <v>4833709.6579186935</v>
      </c>
      <c r="F215" s="17">
        <f>1/$F$29-LN($F$29)+($K$16*EXP($K$16/($D$14*$K$15))/(($D$14*$K$15^2)*(1-1.05*($K$17^1.26))))*'F(T,E)'!G195</f>
        <v>668142.845625752</v>
      </c>
      <c r="G215" s="17">
        <f>1/$G$29-LN($G$29)+($L$16*EXP($L$16/($D$14*$L$15))/(($D$14*$L$15^2)*(1-1.05*($L$17^1.26))))*'F(T,E)'!H195</f>
        <v>43538.766046717377</v>
      </c>
      <c r="H215" s="17">
        <f>1/$H$29-LN($H$29)+($M$16*EXP($M$16/($D$14*$M$15))/(($D$14*$M$15^2)*(1-1.05*($M$17^1.26))))*'F(T,E)'!I195</f>
        <v>14247.857219631967</v>
      </c>
      <c r="I215" s="17">
        <f>1/$I$29-LN($I$29)+($N$16*EXP($N$16/($D$14*$N$15))/(($D$14*$N$15^2)*(1-1.05*($N$17^1.26))))*'F(T,E)'!J195</f>
        <v>14985.225168721852</v>
      </c>
      <c r="J215" s="17">
        <f>1/$J$29-LN($J$29)+($O$16*EXP($O$16/($D$14*$O$15))/(($D$14*$O$15^2)*(1-1.05*($O$17^1.26))))*'F(T,E)'!K195</f>
        <v>105.30511049886962</v>
      </c>
      <c r="K215" s="17">
        <f>1/$K$29-LN($K$29)+($P$16*EXP($P$16/($D$14*$P$15))/(($D$14*$P$15^2)*(1-1.05*($P$17^1.26))))*'F(T,E)'!L195</f>
        <v>44.80317157156135</v>
      </c>
      <c r="L215" s="17">
        <f>1/$L$29-LN($L$29)+($Q$16*EXP($Q$16/($D$14*$Q$15))/(($D$14*$Q$15^2)*(1-1.05*($Q$17^1.26))))*'F(T,E)'!M195</f>
        <v>-0.41225348607678391</v>
      </c>
      <c r="M215" s="17">
        <f>1/$M$29-LN($M$29)+($R$16*EXP($R$16/($D$14*$R$15))/(($D$14*$R$15^2)*(1-1.05*($R$17^1.26))))*'F(T,E)'!N195</f>
        <v>2603.8876273115493</v>
      </c>
      <c r="N215" s="17">
        <f>1/$N$29-LN($N$29)+($S$16*EXP($S$16/($D$14*$S$15))/(($D$14*$S$15^2)*(1-1.05*($S$17^1.26))))*'F(T,E)'!O195</f>
        <v>-11.408746354169157</v>
      </c>
      <c r="O215" s="25"/>
      <c r="P215" s="20">
        <f t="shared" si="55"/>
        <v>4833694.2667955095</v>
      </c>
      <c r="Q215" s="20">
        <f t="shared" si="56"/>
        <v>668129.43337851856</v>
      </c>
      <c r="R215" s="20">
        <f t="shared" si="57"/>
        <v>43528.084762389146</v>
      </c>
      <c r="S215" s="20">
        <f t="shared" si="58"/>
        <v>14238.293193470243</v>
      </c>
      <c r="T215" s="20">
        <f t="shared" si="59"/>
        <v>14975.610669525935</v>
      </c>
      <c r="U215" s="20">
        <f t="shared" si="60"/>
        <v>100.69303387851397</v>
      </c>
      <c r="V215" s="20">
        <f t="shared" si="61"/>
        <v>41.087468401622182</v>
      </c>
      <c r="W215" s="20">
        <f t="shared" si="62"/>
        <v>0.43051639233327788</v>
      </c>
      <c r="X215" s="20">
        <f t="shared" si="63"/>
        <v>2596.0243766589283</v>
      </c>
      <c r="Y215" s="20">
        <f t="shared" si="64"/>
        <v>1.1097868978034346E-5</v>
      </c>
      <c r="Z215" s="25"/>
      <c r="AA215" s="20">
        <f t="shared" si="66"/>
        <v>1.0112689953893917E-4</v>
      </c>
      <c r="AB215" s="20">
        <f t="shared" si="67"/>
        <v>1.0097081223718433E-3</v>
      </c>
      <c r="AC215" s="20">
        <f t="shared" si="68"/>
        <v>0.10233578896358188</v>
      </c>
      <c r="AD215" s="20">
        <f t="shared" si="69"/>
        <v>8.4813139259979852E-5</v>
      </c>
      <c r="AE215" s="20">
        <f t="shared" si="70"/>
        <v>0.44216956279640812</v>
      </c>
      <c r="AF215" s="20">
        <f t="shared" si="71"/>
        <v>10.255658052030077</v>
      </c>
      <c r="AG215" s="20">
        <f t="shared" si="72"/>
        <v>256.53680487845423</v>
      </c>
      <c r="AH215" s="20">
        <f t="shared" si="73"/>
        <v>2236.2895241750884</v>
      </c>
      <c r="AI215" s="20">
        <f t="shared" si="74"/>
        <v>0</v>
      </c>
      <c r="AJ215" s="20">
        <v>50</v>
      </c>
      <c r="AK215" s="25"/>
      <c r="AL215" s="20">
        <f t="shared" si="75"/>
        <v>2553.6276881054937</v>
      </c>
      <c r="AM215" s="25"/>
      <c r="AN215" s="20">
        <f t="shared" si="76"/>
        <v>9144.6547324015792</v>
      </c>
      <c r="AO215" s="20">
        <f t="shared" si="77"/>
        <v>95.627688105493689</v>
      </c>
      <c r="AQ215" s="20">
        <f t="shared" si="78"/>
        <v>1.247410271784736E-5</v>
      </c>
      <c r="AR215" s="20">
        <v>593</v>
      </c>
      <c r="AS215" s="20">
        <f t="shared" si="79"/>
        <v>-0.38904673761388808</v>
      </c>
    </row>
    <row r="216" spans="2:45" x14ac:dyDescent="0.3">
      <c r="B216" s="32">
        <v>322</v>
      </c>
      <c r="C216" s="32">
        <v>2498</v>
      </c>
      <c r="D216" s="7">
        <f t="shared" si="65"/>
        <v>595</v>
      </c>
      <c r="E216" s="17">
        <f>1/$E$29-LN($E$29)+($J$16*EXP($J$16/($D$14*$J$15))/(($D$14*$J$15^2)*(1-1.05*($J$17^1.26))))*'F(T,E)'!F196</f>
        <v>5185633.44492858</v>
      </c>
      <c r="F216" s="17">
        <f>1/$F$29-LN($F$29)+($K$16*EXP($K$16/($D$14*$K$15))/(($D$14*$K$15^2)*(1-1.05*($K$17^1.26))))*'F(T,E)'!G196</f>
        <v>730439.35641767283</v>
      </c>
      <c r="G216" s="17">
        <f>1/$G$29-LN($G$29)+($L$16*EXP($L$16/($D$14*$L$15))/(($D$14*$L$15^2)*(1-1.05*($L$17^1.26))))*'F(T,E)'!H196</f>
        <v>47927.884730383303</v>
      </c>
      <c r="H216" s="17">
        <f>1/$H$29-LN($H$29)+($M$16*EXP($M$16/($D$14*$M$15))/(($D$14*$M$15^2)*(1-1.05*($M$17^1.26))))*'F(T,E)'!I196</f>
        <v>15975.958421697425</v>
      </c>
      <c r="I216" s="17">
        <f>1/$I$29-LN($I$29)+($N$16*EXP($N$16/($D$14*$N$15))/(($D$14*$N$15^2)*(1-1.05*($N$17^1.26))))*'F(T,E)'!J196</f>
        <v>17433.44705707092</v>
      </c>
      <c r="J216" s="17">
        <f>1/$J$29-LN($J$29)+($O$16*EXP($O$16/($D$14*$O$15))/(($D$14*$O$15^2)*(1-1.05*($O$17^1.26))))*'F(T,E)'!K196</f>
        <v>119.01931195386695</v>
      </c>
      <c r="K216" s="17">
        <f>1/$K$29-LN($K$29)+($P$16*EXP($P$16/($D$14*$P$15))/(($D$14*$P$15^2)*(1-1.05*($P$17^1.26))))*'F(T,E)'!L196</f>
        <v>52.341153120783467</v>
      </c>
      <c r="L216" s="17">
        <f>1/$L$29-LN($L$29)+($Q$16*EXP($Q$16/($D$14*$Q$15))/(($D$14*$Q$15^2)*(1-1.05*($Q$17^1.26))))*'F(T,E)'!M196</f>
        <v>-0.27578130435968284</v>
      </c>
      <c r="M216" s="17">
        <f>1/$M$29-LN($M$29)+($R$16*EXP($R$16/($D$14*$R$15))/(($D$14*$R$15^2)*(1-1.05*($R$17^1.26))))*'F(T,E)'!N196</f>
        <v>2669.3576597510391</v>
      </c>
      <c r="N216" s="17">
        <f>1/$N$29-LN($N$29)+($S$16*EXP($S$16/($D$14*$S$15))/(($D$14*$S$15^2)*(1-1.05*($S$17^1.26))))*'F(T,E)'!O196</f>
        <v>-11.396018353219427</v>
      </c>
      <c r="O216" s="25"/>
      <c r="P216" s="20">
        <f t="shared" si="55"/>
        <v>5185617.9835275095</v>
      </c>
      <c r="Q216" s="20">
        <f t="shared" si="56"/>
        <v>730425.85502542462</v>
      </c>
      <c r="R216" s="20">
        <f t="shared" si="57"/>
        <v>47917.107390058656</v>
      </c>
      <c r="S216" s="20">
        <f t="shared" si="58"/>
        <v>15966.279884343805</v>
      </c>
      <c r="T216" s="20">
        <f t="shared" si="59"/>
        <v>17423.681191284166</v>
      </c>
      <c r="U216" s="20">
        <f t="shared" si="60"/>
        <v>114.2806546480638</v>
      </c>
      <c r="V216" s="20">
        <f t="shared" si="61"/>
        <v>48.460406026832729</v>
      </c>
      <c r="W216" s="20">
        <f t="shared" si="62"/>
        <v>0.47296101347354824</v>
      </c>
      <c r="X216" s="20">
        <f t="shared" si="63"/>
        <v>2661.4695444128865</v>
      </c>
      <c r="Y216" s="20">
        <f t="shared" si="64"/>
        <v>1.1240023831696755E-5</v>
      </c>
      <c r="Z216" s="25"/>
      <c r="AA216" s="20">
        <f t="shared" si="66"/>
        <v>9.3668342216036174E-5</v>
      </c>
      <c r="AB216" s="20">
        <f t="shared" si="67"/>
        <v>9.1766566276810149E-4</v>
      </c>
      <c r="AC216" s="20">
        <f t="shared" si="68"/>
        <v>9.2361306664706502E-2</v>
      </c>
      <c r="AD216" s="20">
        <f t="shared" si="69"/>
        <v>7.5132366992785904E-5</v>
      </c>
      <c r="AE216" s="20">
        <f t="shared" si="70"/>
        <v>0.37751372055310156</v>
      </c>
      <c r="AF216" s="20">
        <f t="shared" si="71"/>
        <v>8.9348212998528851</v>
      </c>
      <c r="AG216" s="20">
        <f t="shared" si="72"/>
        <v>215.01599920353897</v>
      </c>
      <c r="AH216" s="20">
        <f t="shared" si="73"/>
        <v>2311.8222765804971</v>
      </c>
      <c r="AI216" s="20">
        <f t="shared" si="74"/>
        <v>0</v>
      </c>
      <c r="AJ216" s="20">
        <v>50</v>
      </c>
      <c r="AK216" s="25"/>
      <c r="AL216" s="20">
        <f t="shared" si="75"/>
        <v>2586.2440585774789</v>
      </c>
      <c r="AM216" s="25"/>
      <c r="AN216" s="20">
        <f t="shared" si="76"/>
        <v>7787.013874225524</v>
      </c>
      <c r="AO216" s="20">
        <f t="shared" si="77"/>
        <v>88.244058577478881</v>
      </c>
      <c r="AQ216" s="20">
        <f t="shared" si="78"/>
        <v>1.1510949106297315E-5</v>
      </c>
      <c r="AR216" s="20">
        <v>595</v>
      </c>
      <c r="AS216" s="20">
        <f t="shared" si="79"/>
        <v>-0.35325884138302188</v>
      </c>
    </row>
    <row r="217" spans="2:45" x14ac:dyDescent="0.3">
      <c r="B217" s="32">
        <v>323</v>
      </c>
      <c r="C217" s="32">
        <v>2424</v>
      </c>
      <c r="D217" s="7">
        <f t="shared" si="65"/>
        <v>596</v>
      </c>
      <c r="E217" s="17">
        <f>1/$E$29-LN($E$29)+($J$16*EXP($J$16/($D$14*$J$15))/(($D$14*$J$15^2)*(1-1.05*($J$17^1.26))))*'F(T,E)'!F197</f>
        <v>5370180.0061001712</v>
      </c>
      <c r="F217" s="17">
        <f>1/$F$29-LN($F$29)+($K$16*EXP($K$16/($D$14*$K$15))/(($D$14*$K$15^2)*(1-1.05*($K$17^1.26))))*'F(T,E)'!G197</f>
        <v>763567.57316938194</v>
      </c>
      <c r="G217" s="17">
        <f>1/$G$29-LN($G$29)+($L$16*EXP($L$16/($D$14*$L$15))/(($D$14*$L$15^2)*(1-1.05*($L$17^1.26))))*'F(T,E)'!H197</f>
        <v>50273.905370430854</v>
      </c>
      <c r="H217" s="17">
        <f>1/$H$29-LN($H$29)+($M$16*EXP($M$16/($D$14*$M$15))/(($D$14*$M$15^2)*(1-1.05*($M$17^1.26))))*'F(T,E)'!I197</f>
        <v>16912.287224003649</v>
      </c>
      <c r="I217" s="17">
        <f>1/$I$29-LN($I$29)+($N$16*EXP($N$16/($D$14*$N$15))/(($D$14*$N$15^2)*(1-1.05*($N$17^1.26))))*'F(T,E)'!J197</f>
        <v>18796.651256228746</v>
      </c>
      <c r="J217" s="17">
        <f>1/$J$29-LN($J$29)+($O$16*EXP($O$16/($D$14*$O$15))/(($D$14*$O$15^2)*(1-1.05*($O$17^1.26))))*'F(T,E)'!K197</f>
        <v>126.48447284366712</v>
      </c>
      <c r="K217" s="17">
        <f>1/$K$29-LN($K$29)+($P$16*EXP($P$16/($D$14*$P$15))/(($D$14*$P$15^2)*(1-1.05*($P$17^1.26))))*'F(T,E)'!L197</f>
        <v>56.554535767538852</v>
      </c>
      <c r="L217" s="17">
        <f>1/$L$29-LN($L$29)+($Q$16*EXP($Q$16/($D$14*$Q$15))/(($D$14*$Q$15^2)*(1-1.05*($Q$17^1.26))))*'F(T,E)'!M197</f>
        <v>-0.19912799380284973</v>
      </c>
      <c r="M217" s="17">
        <f>1/$M$29-LN($M$29)+($R$16*EXP($R$16/($D$14*$R$15))/(($D$14*$R$15^2)*(1-1.05*($R$17^1.26))))*'F(T,E)'!N197</f>
        <v>2702.5437871549811</v>
      </c>
      <c r="N217" s="17">
        <f>1/$N$29-LN($N$29)+($S$16*EXP($S$16/($D$14*$S$15))/(($D$14*$S$15^2)*(1-1.05*($S$17^1.26))))*'F(T,E)'!O197</f>
        <v>-11.389117415149771</v>
      </c>
      <c r="O217" s="25"/>
      <c r="P217" s="20">
        <f t="shared" si="55"/>
        <v>5370164.5097296275</v>
      </c>
      <c r="Q217" s="20">
        <f t="shared" si="56"/>
        <v>763554.0274213478</v>
      </c>
      <c r="R217" s="20">
        <f t="shared" si="57"/>
        <v>50263.08023665192</v>
      </c>
      <c r="S217" s="20">
        <f t="shared" si="58"/>
        <v>16902.551716144262</v>
      </c>
      <c r="T217" s="20">
        <f t="shared" si="59"/>
        <v>18786.81008400736</v>
      </c>
      <c r="U217" s="20">
        <f t="shared" si="60"/>
        <v>121.68305310476879</v>
      </c>
      <c r="V217" s="20">
        <f t="shared" si="61"/>
        <v>52.591972277736524</v>
      </c>
      <c r="W217" s="20">
        <f t="shared" si="62"/>
        <v>0.49800904522239758</v>
      </c>
      <c r="X217" s="20">
        <f t="shared" si="63"/>
        <v>2694.6433003496163</v>
      </c>
      <c r="Y217" s="20">
        <f t="shared" si="64"/>
        <v>1.1317857917393754E-5</v>
      </c>
      <c r="Z217" s="25"/>
      <c r="AA217" s="20">
        <f t="shared" si="66"/>
        <v>9.0164009944648132E-5</v>
      </c>
      <c r="AB217" s="20">
        <f t="shared" si="67"/>
        <v>8.7503748495496394E-4</v>
      </c>
      <c r="AC217" s="20">
        <f t="shared" si="68"/>
        <v>8.7766222637458452E-2</v>
      </c>
      <c r="AD217" s="20">
        <f t="shared" si="69"/>
        <v>7.0735872175446739E-5</v>
      </c>
      <c r="AE217" s="20">
        <f t="shared" si="70"/>
        <v>0.34895979719402903</v>
      </c>
      <c r="AF217" s="20">
        <f t="shared" si="71"/>
        <v>8.3455708505452204</v>
      </c>
      <c r="AG217" s="20">
        <f t="shared" si="72"/>
        <v>197.00818522287031</v>
      </c>
      <c r="AH217" s="20">
        <f t="shared" si="73"/>
        <v>2333.6115773223064</v>
      </c>
      <c r="AI217" s="20">
        <f t="shared" si="74"/>
        <v>0</v>
      </c>
      <c r="AJ217" s="20">
        <v>50</v>
      </c>
      <c r="AK217" s="25"/>
      <c r="AL217" s="20">
        <f t="shared" si="75"/>
        <v>2589.4030953529204</v>
      </c>
      <c r="AM217" s="25"/>
      <c r="AN217" s="20">
        <f t="shared" si="76"/>
        <v>27358.183952327294</v>
      </c>
      <c r="AO217" s="20">
        <f t="shared" si="77"/>
        <v>165.40309535292045</v>
      </c>
      <c r="AQ217" s="20">
        <f t="shared" si="78"/>
        <v>2.1575918462089219E-5</v>
      </c>
      <c r="AR217" s="20">
        <v>596</v>
      </c>
      <c r="AS217" s="20">
        <f t="shared" si="79"/>
        <v>-0.68235600393118989</v>
      </c>
    </row>
    <row r="218" spans="2:45" x14ac:dyDescent="0.3">
      <c r="B218" s="32">
        <v>325</v>
      </c>
      <c r="C218" s="32">
        <v>2454</v>
      </c>
      <c r="D218" s="7">
        <f t="shared" si="65"/>
        <v>598</v>
      </c>
      <c r="E218" s="17">
        <f>1/$E$29-LN($E$29)+($J$16*EXP($J$16/($D$14*$J$15))/(($D$14*$J$15^2)*(1-1.05*($J$17^1.26))))*'F(T,E)'!F198</f>
        <v>5757274.1926194271</v>
      </c>
      <c r="F218" s="17">
        <f>1/$F$29-LN($F$29)+($K$16*EXP($K$16/($D$14*$K$15))/(($D$14*$K$15^2)*(1-1.05*($K$17^1.26))))*'F(T,E)'!G198</f>
        <v>834041.06563676207</v>
      </c>
      <c r="G218" s="17">
        <f>1/$G$29-LN($G$29)+($L$16*EXP($L$16/($D$14*$L$15))/(($D$14*$L$15^2)*(1-1.05*($L$17^1.26))))*'F(T,E)'!H198</f>
        <v>55290.385618798035</v>
      </c>
      <c r="H218" s="17">
        <f>1/$H$29-LN($H$29)+($M$16*EXP($M$16/($D$14*$M$15))/(($D$14*$M$15^2)*(1-1.05*($M$17^1.26))))*'F(T,E)'!I198</f>
        <v>18942.138998377133</v>
      </c>
      <c r="I218" s="17">
        <f>1/$I$29-LN($I$29)+($N$16*EXP($N$16/($D$14*$N$15))/(($D$14*$N$15^2)*(1-1.05*($N$17^1.26))))*'F(T,E)'!J198</f>
        <v>21834.953665802321</v>
      </c>
      <c r="J218" s="17">
        <f>1/$J$29-LN($J$29)+($O$16*EXP($O$16/($D$14*$O$15))/(($D$14*$O$15^2)*(1-1.05*($O$17^1.26))))*'F(T,E)'!K198</f>
        <v>142.74409506791065</v>
      </c>
      <c r="K218" s="17">
        <f>1/$K$29-LN($K$29)+($P$16*EXP($P$16/($D$14*$P$15))/(($D$14*$P$15^2)*(1-1.05*($P$17^1.26))))*'F(T,E)'!L198</f>
        <v>65.982074575917466</v>
      </c>
      <c r="L218" s="17">
        <f>1/$L$29-LN($L$29)+($Q$16*EXP($Q$16/($D$14*$Q$15))/(($D$14*$Q$15^2)*(1-1.05*($Q$17^1.26))))*'F(T,E)'!M198</f>
        <v>-2.6762034586861994E-2</v>
      </c>
      <c r="M218" s="17">
        <f>1/$M$29-LN($M$29)+($R$16*EXP($R$16/($D$14*$R$15))/(($D$14*$R$15^2)*(1-1.05*($R$17^1.26))))*'F(T,E)'!N198</f>
        <v>2769.8262570038492</v>
      </c>
      <c r="N218" s="17">
        <f>1/$N$29-LN($N$29)+($S$16*EXP($S$16/($D$14*$S$15))/(($D$14*$S$15^2)*(1-1.05*($S$17^1.26))))*'F(T,E)'!O198</f>
        <v>-11.37414691241252</v>
      </c>
      <c r="O218" s="25"/>
      <c r="P218" s="20">
        <f t="shared" si="55"/>
        <v>5757258.6266460884</v>
      </c>
      <c r="Q218" s="20">
        <f t="shared" si="56"/>
        <v>834027.43160701601</v>
      </c>
      <c r="R218" s="20">
        <f t="shared" si="57"/>
        <v>55279.4653632388</v>
      </c>
      <c r="S218" s="20">
        <f t="shared" si="58"/>
        <v>18932.290114060997</v>
      </c>
      <c r="T218" s="20">
        <f t="shared" si="59"/>
        <v>21824.96262724909</v>
      </c>
      <c r="U218" s="20">
        <f t="shared" si="60"/>
        <v>137.81815993330201</v>
      </c>
      <c r="V218" s="20">
        <f t="shared" si="61"/>
        <v>61.857245340201658</v>
      </c>
      <c r="W218" s="20">
        <f t="shared" si="62"/>
        <v>0.55751100369187789</v>
      </c>
      <c r="X218" s="20">
        <f t="shared" si="63"/>
        <v>2761.901148002858</v>
      </c>
      <c r="Y218" s="20">
        <f t="shared" si="64"/>
        <v>1.1488564587971881E-5</v>
      </c>
      <c r="Z218" s="25"/>
      <c r="AA218" s="20">
        <f t="shared" si="66"/>
        <v>8.3573263617931542E-5</v>
      </c>
      <c r="AB218" s="20">
        <f t="shared" si="67"/>
        <v>7.9598544695564581E-4</v>
      </c>
      <c r="AC218" s="20">
        <f t="shared" si="68"/>
        <v>7.9288900097973833E-2</v>
      </c>
      <c r="AD218" s="20">
        <f t="shared" si="69"/>
        <v>6.2736929870791007E-5</v>
      </c>
      <c r="AE218" s="20">
        <f t="shared" si="70"/>
        <v>0.29839956106110965</v>
      </c>
      <c r="AF218" s="20">
        <f t="shared" si="71"/>
        <v>7.2909144793451919</v>
      </c>
      <c r="AG218" s="20">
        <f t="shared" si="72"/>
        <v>165.65651357624731</v>
      </c>
      <c r="AH218" s="20">
        <f t="shared" si="73"/>
        <v>2340.8567805010448</v>
      </c>
      <c r="AI218" s="20">
        <f t="shared" si="74"/>
        <v>0</v>
      </c>
      <c r="AJ218" s="20">
        <v>50</v>
      </c>
      <c r="AK218" s="25"/>
      <c r="AL218" s="20">
        <f t="shared" si="75"/>
        <v>2564.1828393134369</v>
      </c>
      <c r="AM218" s="25"/>
      <c r="AN218" s="20">
        <f t="shared" si="76"/>
        <v>12140.258079170666</v>
      </c>
      <c r="AO218" s="20">
        <f t="shared" si="77"/>
        <v>110.18283931343694</v>
      </c>
      <c r="AQ218" s="20">
        <f t="shared" si="78"/>
        <v>1.4372741645951423E-5</v>
      </c>
      <c r="AR218" s="20">
        <v>598</v>
      </c>
      <c r="AS218" s="20">
        <f t="shared" si="79"/>
        <v>-0.44899282523812933</v>
      </c>
    </row>
    <row r="219" spans="2:45" x14ac:dyDescent="0.3">
      <c r="B219" s="32">
        <v>326</v>
      </c>
      <c r="C219" s="32">
        <v>2446</v>
      </c>
      <c r="D219" s="7">
        <f t="shared" si="65"/>
        <v>599</v>
      </c>
      <c r="E219" s="17">
        <f>1/$E$29-LN($E$29)+($J$16*EXP($J$16/($D$14*$J$15))/(($D$14*$J$15^2)*(1-1.05*($J$17^1.26))))*'F(T,E)'!F199</f>
        <v>5960167.0751586845</v>
      </c>
      <c r="F219" s="17">
        <f>1/$F$29-LN($F$29)+($K$16*EXP($K$16/($D$14*$K$15))/(($D$14*$K$15^2)*(1-1.05*($K$17^1.26))))*'F(T,E)'!G199</f>
        <v>871494.59157948673</v>
      </c>
      <c r="G219" s="17">
        <f>1/$G$29-LN($G$29)+($L$16*EXP($L$16/($D$14*$L$15))/(($D$14*$L$15^2)*(1-1.05*($L$17^1.26))))*'F(T,E)'!H199</f>
        <v>57969.949820036367</v>
      </c>
      <c r="H219" s="17">
        <f>1/$H$29-LN($H$29)+($M$16*EXP($M$16/($D$14*$M$15))/(($D$14*$M$15^2)*(1-1.05*($M$17^1.26))))*'F(T,E)'!I199</f>
        <v>20041.082946994229</v>
      </c>
      <c r="I219" s="17">
        <f>1/$I$29-LN($I$29)+($N$16*EXP($N$16/($D$14*$N$15))/(($D$14*$N$15^2)*(1-1.05*($N$17^1.26))))*'F(T,E)'!J199</f>
        <v>23524.911292315457</v>
      </c>
      <c r="J219" s="17">
        <f>1/$J$29-LN($J$29)+($O$16*EXP($O$16/($D$14*$O$15))/(($D$14*$O$15^2)*(1-1.05*($O$17^1.26))))*'F(T,E)'!K199</f>
        <v>151.58733055740333</v>
      </c>
      <c r="K219" s="17">
        <f>1/$K$29-LN($K$29)+($P$16*EXP($P$16/($D$14*$P$15))/(($D$14*$P$15^2)*(1-1.05*($P$17^1.26))))*'F(T,E)'!L199</f>
        <v>71.245789660840927</v>
      </c>
      <c r="L219" s="17">
        <f>1/$L$29-LN($L$29)+($Q$16*EXP($Q$16/($D$14*$Q$15))/(($D$14*$Q$15^2)*(1-1.05*($Q$17^1.26))))*'F(T,E)'!M199</f>
        <v>6.9940005693140517E-2</v>
      </c>
      <c r="M219" s="17">
        <f>1/$M$29-LN($M$29)+($R$16*EXP($R$16/($D$14*$R$15))/(($D$14*$R$15^2)*(1-1.05*($R$17^1.26))))*'F(T,E)'!N199</f>
        <v>2803.9257933771687</v>
      </c>
      <c r="N219" s="17">
        <f>1/$N$29-LN($N$29)+($S$16*EXP($S$16/($D$14*$S$15))/(($D$14*$S$15^2)*(1-1.05*($S$17^1.26))))*'F(T,E)'!O199</f>
        <v>-11.366036677010563</v>
      </c>
      <c r="O219" s="25"/>
      <c r="P219" s="20">
        <f t="shared" si="55"/>
        <v>5960151.4745509215</v>
      </c>
      <c r="Q219" s="20">
        <f t="shared" si="56"/>
        <v>871480.91362239607</v>
      </c>
      <c r="R219" s="20">
        <f t="shared" si="57"/>
        <v>57958.98223458563</v>
      </c>
      <c r="S219" s="20">
        <f t="shared" si="58"/>
        <v>20031.177654532064</v>
      </c>
      <c r="T219" s="20">
        <f t="shared" si="59"/>
        <v>23514.845691061288</v>
      </c>
      <c r="U219" s="20">
        <f t="shared" si="60"/>
        <v>146.59962532372671</v>
      </c>
      <c r="V219" s="20">
        <f t="shared" si="61"/>
        <v>67.040492853067221</v>
      </c>
      <c r="W219" s="20">
        <f t="shared" si="62"/>
        <v>0.5928142211637536</v>
      </c>
      <c r="X219" s="20">
        <f t="shared" si="63"/>
        <v>2795.9884332476117</v>
      </c>
      <c r="Y219" s="20">
        <f t="shared" si="64"/>
        <v>1.1582117326633997E-5</v>
      </c>
      <c r="Z219" s="25"/>
      <c r="AA219" s="20">
        <f t="shared" si="66"/>
        <v>8.0474933419465923E-5</v>
      </c>
      <c r="AB219" s="20">
        <f t="shared" si="67"/>
        <v>7.593478828640301E-4</v>
      </c>
      <c r="AC219" s="20">
        <f t="shared" si="68"/>
        <v>7.538055211689916E-2</v>
      </c>
      <c r="AD219" s="20">
        <f t="shared" si="69"/>
        <v>5.9100748561617951E-5</v>
      </c>
      <c r="AE219" s="20">
        <f t="shared" si="70"/>
        <v>0.27604303698587285</v>
      </c>
      <c r="AF219" s="20">
        <f t="shared" si="71"/>
        <v>6.8190796147121615</v>
      </c>
      <c r="AG219" s="20">
        <f t="shared" si="72"/>
        <v>152.02460239313999</v>
      </c>
      <c r="AH219" s="20">
        <f t="shared" si="73"/>
        <v>2325.1275402789806</v>
      </c>
      <c r="AI219" s="20">
        <f t="shared" si="74"/>
        <v>0</v>
      </c>
      <c r="AJ219" s="20">
        <v>50</v>
      </c>
      <c r="AK219" s="25"/>
      <c r="AL219" s="20">
        <f t="shared" si="75"/>
        <v>2534.3235447995003</v>
      </c>
      <c r="AM219" s="25"/>
      <c r="AN219" s="20">
        <f t="shared" si="76"/>
        <v>7801.0485659493306</v>
      </c>
      <c r="AO219" s="20">
        <f t="shared" si="77"/>
        <v>88.323544799500269</v>
      </c>
      <c r="AQ219" s="20">
        <f t="shared" si="78"/>
        <v>1.1521317644089993E-5</v>
      </c>
      <c r="AR219" s="20">
        <v>599</v>
      </c>
      <c r="AS219" s="20">
        <f t="shared" si="79"/>
        <v>-0.36109380539452279</v>
      </c>
    </row>
    <row r="220" spans="2:45" x14ac:dyDescent="0.3">
      <c r="B220" s="32">
        <v>328</v>
      </c>
      <c r="C220" s="32">
        <v>2410</v>
      </c>
      <c r="D220" s="7">
        <f t="shared" si="65"/>
        <v>601</v>
      </c>
      <c r="E220" s="17">
        <f>1/$E$29-LN($E$29)+($J$16*EXP($J$16/($D$14*$J$15))/(($D$14*$J$15^2)*(1-1.05*($J$17^1.26))))*'F(T,E)'!F200</f>
        <v>6385540.0399343651</v>
      </c>
      <c r="F220" s="17">
        <f>1/$F$29-LN($F$29)+($K$16*EXP($K$16/($D$14*$K$15))/(($D$14*$K$15^2)*(1-1.05*($K$17^1.26))))*'F(T,E)'!G200</f>
        <v>951119.98878696305</v>
      </c>
      <c r="G220" s="17">
        <f>1/$G$29-LN($G$29)+($L$16*EXP($L$16/($D$14*$L$15))/(($D$14*$L$15^2)*(1-1.05*($L$17^1.26))))*'F(T,E)'!H200</f>
        <v>63695.802151555508</v>
      </c>
      <c r="H220" s="17">
        <f>1/$H$29-LN($H$29)+($M$16*EXP($M$16/($D$14*$M$15))/(($D$14*$M$15^2)*(1-1.05*($M$17^1.26))))*'F(T,E)'!I200</f>
        <v>22421.539160151056</v>
      </c>
      <c r="I220" s="17">
        <f>1/$I$29-LN($I$29)+($N$16*EXP($N$16/($D$14*$N$15))/(($D$14*$N$15^2)*(1-1.05*($N$17^1.26))))*'F(T,E)'!J200</f>
        <v>27287.383588058776</v>
      </c>
      <c r="J220" s="17">
        <f>1/$J$29-LN($J$29)+($O$16*EXP($O$16/($D$14*$O$15))/(($D$14*$O$15^2)*(1-1.05*($O$17^1.26))))*'F(T,E)'!K200</f>
        <v>170.83201068794801</v>
      </c>
      <c r="K220" s="17">
        <f>1/$K$29-LN($K$29)+($P$16*EXP($P$16/($D$14*$P$15))/(($D$14*$P$15^2)*(1-1.05*($P$17^1.26))))*'F(T,E)'!L200</f>
        <v>83.010197480603296</v>
      </c>
      <c r="L220" s="17">
        <f>1/$L$29-LN($L$29)+($Q$16*EXP($Q$16/($D$14*$Q$15))/(($D$14*$Q$15^2)*(1-1.05*($Q$17^1.26))))*'F(T,E)'!M200</f>
        <v>0.28713246173076024</v>
      </c>
      <c r="M220" s="17">
        <f>1/$M$29-LN($M$29)+($R$16*EXP($R$16/($D$14*$R$15))/(($D$14*$R$15^2)*(1-1.05*($R$17^1.26))))*'F(T,E)'!N200</f>
        <v>2873.0494452073417</v>
      </c>
      <c r="N220" s="17">
        <f>1/$N$29-LN($N$29)+($S$16*EXP($S$16/($D$14*$S$15))/(($D$14*$S$15^2)*(1-1.05*($S$17^1.26))))*'F(T,E)'!O200</f>
        <v>-11.348457137833028</v>
      </c>
      <c r="O220" s="25"/>
      <c r="P220" s="20">
        <f t="shared" si="55"/>
        <v>6385524.3703889688</v>
      </c>
      <c r="Q220" s="20">
        <f t="shared" si="56"/>
        <v>951106.22339869477</v>
      </c>
      <c r="R220" s="20">
        <f t="shared" si="57"/>
        <v>63684.74036445003</v>
      </c>
      <c r="S220" s="20">
        <f t="shared" si="58"/>
        <v>22411.521606201866</v>
      </c>
      <c r="T220" s="20">
        <f t="shared" si="59"/>
        <v>27277.169595483436</v>
      </c>
      <c r="U220" s="20">
        <f t="shared" si="60"/>
        <v>165.72170080765093</v>
      </c>
      <c r="V220" s="20">
        <f t="shared" si="61"/>
        <v>78.64525024397193</v>
      </c>
      <c r="W220" s="20">
        <f t="shared" si="62"/>
        <v>0.67708739078173574</v>
      </c>
      <c r="X220" s="20">
        <f t="shared" si="63"/>
        <v>2865.0877017704752</v>
      </c>
      <c r="Y220" s="20">
        <f t="shared" si="64"/>
        <v>1.1787523394064765E-5</v>
      </c>
      <c r="Z220" s="25"/>
      <c r="AA220" s="20">
        <f t="shared" si="66"/>
        <v>7.4644585511109824E-5</v>
      </c>
      <c r="AB220" s="20">
        <f t="shared" si="67"/>
        <v>6.9135861879275325E-4</v>
      </c>
      <c r="AC220" s="20">
        <f t="shared" si="68"/>
        <v>6.8164808642909719E-2</v>
      </c>
      <c r="AD220" s="20">
        <f t="shared" si="69"/>
        <v>5.2478987220396253E-5</v>
      </c>
      <c r="AE220" s="20">
        <f t="shared" si="70"/>
        <v>0.2364094566885416</v>
      </c>
      <c r="AF220" s="20">
        <f t="shared" si="71"/>
        <v>5.9723735104298097</v>
      </c>
      <c r="AG220" s="20">
        <f t="shared" si="72"/>
        <v>128.23134995052035</v>
      </c>
      <c r="AH220" s="20">
        <f t="shared" si="73"/>
        <v>2253.9182499402018</v>
      </c>
      <c r="AI220" s="20">
        <f t="shared" si="74"/>
        <v>0</v>
      </c>
      <c r="AJ220" s="20">
        <v>50</v>
      </c>
      <c r="AK220" s="25"/>
      <c r="AL220" s="20">
        <f t="shared" si="75"/>
        <v>2438.427366148675</v>
      </c>
      <c r="AM220" s="25"/>
      <c r="AN220" s="20">
        <f t="shared" si="76"/>
        <v>808.11514615083286</v>
      </c>
      <c r="AO220" s="20">
        <f t="shared" si="77"/>
        <v>28.427366148674992</v>
      </c>
      <c r="AQ220" s="20">
        <f t="shared" si="78"/>
        <v>3.7081925994617565E-6</v>
      </c>
      <c r="AR220" s="20">
        <v>601</v>
      </c>
      <c r="AS220" s="20">
        <f t="shared" si="79"/>
        <v>-0.11795587613558088</v>
      </c>
    </row>
    <row r="221" spans="2:45" x14ac:dyDescent="0.3">
      <c r="B221" s="32">
        <v>329</v>
      </c>
      <c r="C221" s="32">
        <v>2270</v>
      </c>
      <c r="D221" s="7">
        <f t="shared" si="65"/>
        <v>602</v>
      </c>
      <c r="E221" s="17">
        <f>1/$E$29-LN($E$29)+($J$16*EXP($J$16/($D$14*$J$15))/(($D$14*$J$15^2)*(1-1.05*($J$17^1.26))))*'F(T,E)'!F201</f>
        <v>6608391.7435922185</v>
      </c>
      <c r="F221" s="17">
        <f>1/$F$29-LN($F$29)+($K$16*EXP($K$16/($D$14*$K$15))/(($D$14*$K$15^2)*(1-1.05*($K$17^1.26))))*'F(T,E)'!G201</f>
        <v>993411.68284076557</v>
      </c>
      <c r="G221" s="17">
        <f>1/$G$29-LN($G$29)+($L$16*EXP($L$16/($D$14*$L$15))/(($D$14*$L$15^2)*(1-1.05*($L$17^1.26))))*'F(T,E)'!H201</f>
        <v>66752.271628397764</v>
      </c>
      <c r="H221" s="17">
        <f>1/$H$29-LN($H$29)+($M$16*EXP($M$16/($D$14*$M$15))/(($D$14*$M$15^2)*(1-1.05*($M$17^1.26))))*'F(T,E)'!I201</f>
        <v>23709.280352431921</v>
      </c>
      <c r="I221" s="17">
        <f>1/$I$29-LN($I$29)+($N$16*EXP($N$16/($D$14*$N$15))/(($D$14*$N$15^2)*(1-1.05*($N$17^1.26))))*'F(T,E)'!J201</f>
        <v>29377.92947458096</v>
      </c>
      <c r="J221" s="17">
        <f>1/$J$29-LN($J$29)+($O$16*EXP($O$16/($D$14*$O$15))/(($D$14*$O$15^2)*(1-1.05*($O$17^1.26))))*'F(T,E)'!K201</f>
        <v>181.29001919650182</v>
      </c>
      <c r="K221" s="17">
        <f>1/$K$29-LN($K$29)+($P$16*EXP($P$16/($D$14*$P$15))/(($D$14*$P$15^2)*(1-1.05*($P$17^1.26))))*'F(T,E)'!L201</f>
        <v>89.571491034631109</v>
      </c>
      <c r="L221" s="17">
        <f>1/$L$29-LN($L$29)+($Q$16*EXP($Q$16/($D$14*$Q$15))/(($D$14*$Q$15^2)*(1-1.05*($Q$17^1.26))))*'F(T,E)'!M201</f>
        <v>0.40884453889890726</v>
      </c>
      <c r="M221" s="17">
        <f>1/$M$29-LN($M$29)+($R$16*EXP($R$16/($D$14*$R$15))/(($D$14*$R$15^2)*(1-1.05*($R$17^1.26))))*'F(T,E)'!N201</f>
        <v>2908.0767474104914</v>
      </c>
      <c r="N221" s="17">
        <f>1/$N$29-LN($N$29)+($S$16*EXP($S$16/($D$14*$S$15))/(($D$14*$S$15^2)*(1-1.05*($S$17^1.26))))*'F(T,E)'!O201</f>
        <v>-11.338941039600881</v>
      </c>
      <c r="O221" s="25"/>
      <c r="P221" s="20">
        <f t="shared" si="55"/>
        <v>6608376.0397425313</v>
      </c>
      <c r="Q221" s="20">
        <f t="shared" si="56"/>
        <v>993397.87394727371</v>
      </c>
      <c r="R221" s="20">
        <f t="shared" si="57"/>
        <v>66741.162967998927</v>
      </c>
      <c r="S221" s="20">
        <f t="shared" si="58"/>
        <v>23699.206943045872</v>
      </c>
      <c r="T221" s="20">
        <f t="shared" si="59"/>
        <v>29367.641650705107</v>
      </c>
      <c r="U221" s="20">
        <f t="shared" si="60"/>
        <v>176.11886008799499</v>
      </c>
      <c r="V221" s="20">
        <f t="shared" si="61"/>
        <v>85.127342749256655</v>
      </c>
      <c r="W221" s="20">
        <f t="shared" si="62"/>
        <v>0.72728348215864547</v>
      </c>
      <c r="X221" s="20">
        <f t="shared" si="63"/>
        <v>2900.1028714040181</v>
      </c>
      <c r="Y221" s="20">
        <f t="shared" si="64"/>
        <v>1.1900228696602372E-5</v>
      </c>
      <c r="Z221" s="25"/>
      <c r="AA221" s="20">
        <f t="shared" si="66"/>
        <v>7.1902211081039424E-5</v>
      </c>
      <c r="AB221" s="20">
        <f t="shared" si="67"/>
        <v>6.5982641151783768E-4</v>
      </c>
      <c r="AC221" s="20">
        <f t="shared" si="68"/>
        <v>6.4835594638000718E-2</v>
      </c>
      <c r="AD221" s="20">
        <f t="shared" si="69"/>
        <v>4.946603282258029E-5</v>
      </c>
      <c r="AE221" s="20">
        <f t="shared" si="70"/>
        <v>0.21886326557137958</v>
      </c>
      <c r="AF221" s="20">
        <f t="shared" si="71"/>
        <v>5.5926039629229063</v>
      </c>
      <c r="AG221" s="20">
        <f t="shared" si="72"/>
        <v>117.85866375180085</v>
      </c>
      <c r="AH221" s="20">
        <f t="shared" si="73"/>
        <v>2198.9193433955002</v>
      </c>
      <c r="AI221" s="20">
        <f t="shared" si="74"/>
        <v>0</v>
      </c>
      <c r="AJ221" s="20">
        <v>50</v>
      </c>
      <c r="AK221" s="25"/>
      <c r="AL221" s="20">
        <f t="shared" si="75"/>
        <v>2372.6550911650888</v>
      </c>
      <c r="AM221" s="25"/>
      <c r="AN221" s="20">
        <f t="shared" si="76"/>
        <v>10538.0677421127</v>
      </c>
      <c r="AO221" s="20">
        <f t="shared" si="77"/>
        <v>102.65509116508883</v>
      </c>
      <c r="AQ221" s="20">
        <f t="shared" si="78"/>
        <v>1.3390788557919118E-5</v>
      </c>
      <c r="AR221" s="20">
        <v>602</v>
      </c>
      <c r="AS221" s="20">
        <f t="shared" si="79"/>
        <v>-0.45222507121184508</v>
      </c>
    </row>
    <row r="222" spans="2:45" x14ac:dyDescent="0.3">
      <c r="B222" s="32">
        <v>331</v>
      </c>
      <c r="C222" s="32">
        <v>2164</v>
      </c>
      <c r="D222" s="7">
        <f t="shared" si="65"/>
        <v>604</v>
      </c>
      <c r="E222" s="17">
        <f>1/$E$29-LN($E$29)+($J$16*EXP($J$16/($D$14*$J$15))/(($D$14*$J$15^2)*(1-1.05*($J$17^1.26))))*'F(T,E)'!F202</f>
        <v>7075389.1970238648</v>
      </c>
      <c r="F222" s="17">
        <f>1/$F$29-LN($F$29)+($K$16*EXP($K$16/($D$14*$K$15))/(($D$14*$K$15^2)*(1-1.05*($K$17^1.26))))*'F(T,E)'!G202</f>
        <v>1083268.1157685036</v>
      </c>
      <c r="G222" s="17">
        <f>1/$G$29-LN($G$29)+($L$16*EXP($L$16/($D$14*$L$15))/(($D$14*$L$15^2)*(1-1.05*($L$17^1.26))))*'F(T,E)'!H202</f>
        <v>73279.203791985216</v>
      </c>
      <c r="H222" s="17">
        <f>1/$H$29-LN($H$29)+($M$16*EXP($M$16/($D$14*$M$15))/(($D$14*$M$15^2)*(1-1.05*($M$17^1.26))))*'F(T,E)'!I202</f>
        <v>26496.474497034647</v>
      </c>
      <c r="I222" s="17">
        <f>1/$I$29-LN($I$29)+($N$16*EXP($N$16/($D$14*$N$15))/(($D$14*$N$15^2)*(1-1.05*($N$17^1.26))))*'F(T,E)'!J202</f>
        <v>34027.273785628131</v>
      </c>
      <c r="J222" s="17">
        <f>1/$J$29-LN($J$29)+($O$16*EXP($O$16/($D$14*$O$15))/(($D$14*$O$15^2)*(1-1.05*($O$17^1.26))))*'F(T,E)'!K202</f>
        <v>204.02959188425791</v>
      </c>
      <c r="K222" s="17">
        <f>1/$K$29-LN($K$29)+($P$16*EXP($P$16/($D$14*$P$15))/(($D$14*$P$15^2)*(1-1.05*($P$17^1.26))))*'F(T,E)'!L202</f>
        <v>104.21970898969722</v>
      </c>
      <c r="L222" s="17">
        <f>1/$L$29-LN($L$29)+($Q$16*EXP($Q$16/($D$14*$Q$15))/(($D$14*$Q$15^2)*(1-1.05*($Q$17^1.26))))*'F(T,E)'!M202</f>
        <v>0.68189252277745371</v>
      </c>
      <c r="M222" s="17">
        <f>1/$M$29-LN($M$29)+($R$16*EXP($R$16/($D$14*$R$15))/(($D$14*$R$15^2)*(1-1.05*($R$17^1.26))))*'F(T,E)'!N202</f>
        <v>2979.0702611570923</v>
      </c>
      <c r="N222" s="17">
        <f>1/$N$29-LN($N$29)+($S$16*EXP($S$16/($D$14*$S$15))/(($D$14*$S$15^2)*(1-1.05*($S$17^1.26))))*'F(T,E)'!O202</f>
        <v>-11.318330753348887</v>
      </c>
      <c r="O222" s="25"/>
      <c r="P222" s="20">
        <f t="shared" si="55"/>
        <v>7075373.4248919692</v>
      </c>
      <c r="Q222" s="20">
        <f t="shared" si="56"/>
        <v>1083254.2202818543</v>
      </c>
      <c r="R222" s="20">
        <f t="shared" si="57"/>
        <v>73268.001836285126</v>
      </c>
      <c r="S222" s="20">
        <f t="shared" si="58"/>
        <v>26486.289922260356</v>
      </c>
      <c r="T222" s="20">
        <f t="shared" si="59"/>
        <v>34016.839021307605</v>
      </c>
      <c r="U222" s="20">
        <f t="shared" si="60"/>
        <v>198.73760648995102</v>
      </c>
      <c r="V222" s="20">
        <f t="shared" si="61"/>
        <v>99.618362479851797</v>
      </c>
      <c r="W222" s="20">
        <f t="shared" si="62"/>
        <v>0.84743438606930455</v>
      </c>
      <c r="X222" s="20">
        <f t="shared" si="63"/>
        <v>2971.0722372136465</v>
      </c>
      <c r="Y222" s="20">
        <f t="shared" si="64"/>
        <v>1.2148037772978397E-5</v>
      </c>
      <c r="Z222" s="25"/>
      <c r="AA222" s="20">
        <f t="shared" si="66"/>
        <v>6.6738908144382757E-5</v>
      </c>
      <c r="AB222" s="20">
        <f t="shared" si="67"/>
        <v>6.0127177584510616E-4</v>
      </c>
      <c r="AC222" s="20">
        <f t="shared" si="68"/>
        <v>5.8684574971538853E-2</v>
      </c>
      <c r="AD222" s="20">
        <f t="shared" si="69"/>
        <v>4.3974254189771678E-5</v>
      </c>
      <c r="AE222" s="20">
        <f t="shared" si="70"/>
        <v>0.18772130398556403</v>
      </c>
      <c r="AF222" s="20">
        <f t="shared" si="71"/>
        <v>4.9095005591468341</v>
      </c>
      <c r="AG222" s="20">
        <f t="shared" si="72"/>
        <v>99.707937976753058</v>
      </c>
      <c r="AH222" s="20">
        <f t="shared" si="73"/>
        <v>2053.7542742741257</v>
      </c>
      <c r="AI222" s="20">
        <f t="shared" si="74"/>
        <v>0</v>
      </c>
      <c r="AJ222" s="20">
        <v>50</v>
      </c>
      <c r="AK222" s="25"/>
      <c r="AL222" s="20">
        <f t="shared" si="75"/>
        <v>2208.6188306739209</v>
      </c>
      <c r="AM222" s="25"/>
      <c r="AN222" s="20">
        <f t="shared" si="76"/>
        <v>1990.8400507080255</v>
      </c>
      <c r="AO222" s="20">
        <f t="shared" si="77"/>
        <v>44.618830673920911</v>
      </c>
      <c r="AQ222" s="20">
        <f t="shared" si="78"/>
        <v>5.8202795445888559E-6</v>
      </c>
      <c r="AR222" s="20">
        <v>604</v>
      </c>
      <c r="AS222" s="20">
        <f t="shared" si="79"/>
        <v>-0.20618683305878427</v>
      </c>
    </row>
    <row r="223" spans="2:45" x14ac:dyDescent="0.3">
      <c r="B223" s="32">
        <v>332</v>
      </c>
      <c r="C223" s="32">
        <v>2046</v>
      </c>
      <c r="D223" s="7">
        <f t="shared" si="65"/>
        <v>605</v>
      </c>
      <c r="E223" s="17">
        <f>1/$E$29-LN($E$29)+($J$16*EXP($J$16/($D$14*$J$15))/(($D$14*$J$15^2)*(1-1.05*($J$17^1.26))))*'F(T,E)'!F203</f>
        <v>7319934.6090100082</v>
      </c>
      <c r="F223" s="17">
        <f>1/$F$29-LN($F$29)+($K$16*EXP($K$16/($D$14*$K$15))/(($D$14*$K$15^2)*(1-1.05*($K$17^1.26))))*'F(T,E)'!G203</f>
        <v>1130965.3391183456</v>
      </c>
      <c r="G223" s="17">
        <f>1/$G$29-LN($G$29)+($L$16*EXP($L$16/($D$14*$L$15))/(($D$14*$L$15^2)*(1-1.05*($L$17^1.26))))*'F(T,E)'!H203</f>
        <v>76761.038066072928</v>
      </c>
      <c r="H223" s="17">
        <f>1/$H$29-LN($H$29)+($M$16*EXP($M$16/($D$14*$M$15))/(($D$14*$M$15^2)*(1-1.05*($M$17^1.26))))*'F(T,E)'!I203</f>
        <v>28003.074116534779</v>
      </c>
      <c r="I223" s="17">
        <f>1/$I$29-LN($I$29)+($N$16*EXP($N$16/($D$14*$N$15))/(($D$14*$N$15^2)*(1-1.05*($N$17^1.26))))*'F(T,E)'!J203</f>
        <v>36607.907948153224</v>
      </c>
      <c r="J223" s="17">
        <f>1/$J$29-LN($J$29)+($O$16*EXP($O$16/($D$14*$O$15))/(($D$14*$O$15^2)*(1-1.05*($O$17^1.26))))*'F(T,E)'!K203</f>
        <v>216.37665031185423</v>
      </c>
      <c r="K223" s="17">
        <f>1/$K$29-LN($K$29)+($P$16*EXP($P$16/($D$14*$P$15))/(($D$14*$P$15^2)*(1-1.05*($P$17^1.26))))*'F(T,E)'!L203</f>
        <v>112.38058056035773</v>
      </c>
      <c r="L223" s="17">
        <f>1/$L$29-LN($L$29)+($Q$16*EXP($Q$16/($D$14*$Q$15))/(($D$14*$Q$15^2)*(1-1.05*($Q$17^1.26))))*'F(T,E)'!M203</f>
        <v>0.83473357312108432</v>
      </c>
      <c r="M223" s="17">
        <f>1/$M$29-LN($M$29)+($R$16*EXP($R$16/($D$14*$R$15))/(($D$14*$R$15^2)*(1-1.05*($R$17^1.26))))*'F(T,E)'!N203</f>
        <v>3015.039651092472</v>
      </c>
      <c r="N223" s="17">
        <f>1/$N$29-LN($N$29)+($S$16*EXP($S$16/($D$14*$S$15))/(($D$14*$S$15^2)*(1-1.05*($S$17^1.26))))*'F(T,E)'!O203</f>
        <v>-11.307182805783448</v>
      </c>
      <c r="O223" s="25"/>
      <c r="P223" s="20">
        <f t="shared" si="55"/>
        <v>7319918.8028991353</v>
      </c>
      <c r="Q223" s="20">
        <f t="shared" si="56"/>
        <v>1130951.4005423994</v>
      </c>
      <c r="R223" s="20">
        <f t="shared" si="57"/>
        <v>76749.789686868651</v>
      </c>
      <c r="S223" s="20">
        <f t="shared" si="58"/>
        <v>27992.834229800083</v>
      </c>
      <c r="T223" s="20">
        <f t="shared" si="59"/>
        <v>36597.400072114186</v>
      </c>
      <c r="U223" s="20">
        <f t="shared" si="60"/>
        <v>211.02467524094573</v>
      </c>
      <c r="V223" s="20">
        <f t="shared" si="61"/>
        <v>107.7012196517309</v>
      </c>
      <c r="W223" s="20">
        <f t="shared" si="62"/>
        <v>0.91909708898706155</v>
      </c>
      <c r="X223" s="20">
        <f t="shared" si="63"/>
        <v>3007.0296113997683</v>
      </c>
      <c r="Y223" s="20">
        <f t="shared" si="64"/>
        <v>1.2284219460322554E-5</v>
      </c>
      <c r="Z223" s="25"/>
      <c r="AA223" s="20">
        <f t="shared" si="66"/>
        <v>6.4308967585882031E-5</v>
      </c>
      <c r="AB223" s="20">
        <f t="shared" si="67"/>
        <v>5.7409665622332043E-4</v>
      </c>
      <c r="AC223" s="20">
        <f t="shared" si="68"/>
        <v>5.5844507128022032E-2</v>
      </c>
      <c r="AD223" s="20">
        <f t="shared" si="69"/>
        <v>4.1473167746458618E-5</v>
      </c>
      <c r="AE223" s="20">
        <f t="shared" si="70"/>
        <v>0.17391815103168365</v>
      </c>
      <c r="AF223" s="20">
        <f t="shared" si="71"/>
        <v>4.60240211164031</v>
      </c>
      <c r="AG223" s="20">
        <f t="shared" si="72"/>
        <v>91.774510882087995</v>
      </c>
      <c r="AH223" s="20">
        <f t="shared" si="73"/>
        <v>1965.9624301150088</v>
      </c>
      <c r="AI223" s="20">
        <f t="shared" si="74"/>
        <v>0</v>
      </c>
      <c r="AJ223" s="20">
        <v>50</v>
      </c>
      <c r="AK223" s="25"/>
      <c r="AL223" s="20">
        <f t="shared" si="75"/>
        <v>2112.5697856456882</v>
      </c>
      <c r="AM223" s="25"/>
      <c r="AN223" s="20">
        <f t="shared" si="76"/>
        <v>4431.5363609128708</v>
      </c>
      <c r="AO223" s="20">
        <f t="shared" si="77"/>
        <v>66.569785645688171</v>
      </c>
      <c r="AQ223" s="20">
        <f t="shared" si="78"/>
        <v>8.6836601459330857E-6</v>
      </c>
      <c r="AR223" s="20">
        <v>605</v>
      </c>
      <c r="AS223" s="20">
        <f t="shared" si="79"/>
        <v>-0.32536552123992263</v>
      </c>
    </row>
    <row r="224" spans="2:45" x14ac:dyDescent="0.3">
      <c r="B224" s="32">
        <v>334</v>
      </c>
      <c r="C224" s="32">
        <v>1866</v>
      </c>
      <c r="D224" s="7">
        <f t="shared" si="65"/>
        <v>607</v>
      </c>
      <c r="E224" s="17">
        <f>1/$E$29-LN($E$29)+($J$16*EXP($J$16/($D$14*$J$15))/(($D$14*$J$15^2)*(1-1.05*($J$17^1.26))))*'F(T,E)'!F204</f>
        <v>7832154.6840087809</v>
      </c>
      <c r="F224" s="17">
        <f>1/$F$29-LN($F$29)+($K$16*EXP($K$16/($D$14*$K$15))/(($D$14*$K$15^2)*(1-1.05*($K$17^1.26))))*'F(T,E)'!G204</f>
        <v>1232245.952467283</v>
      </c>
      <c r="G224" s="17">
        <f>1/$G$29-LN($G$29)+($L$16*EXP($L$16/($D$14*$L$15))/(($D$14*$L$15^2)*(1-1.05*($L$17^1.26))))*'F(T,E)'!H204</f>
        <v>84191.476933495549</v>
      </c>
      <c r="H224" s="17">
        <f>1/$H$29-LN($H$29)+($M$16*EXP($M$16/($D$14*$M$15))/(($D$14*$M$15^2)*(1-1.05*($M$17^1.26))))*'F(T,E)'!I204</f>
        <v>31261.408291124968</v>
      </c>
      <c r="I224" s="17">
        <f>1/$I$29-LN($I$29)+($N$16*EXP($N$16/($D$14*$N$15))/(($D$14*$N$15^2)*(1-1.05*($N$17^1.26))))*'F(T,E)'!J204</f>
        <v>42341.145170187032</v>
      </c>
      <c r="J224" s="17">
        <f>1/$J$29-LN($J$29)+($O$16*EXP($O$16/($D$14*$O$15))/(($D$14*$O$15^2)*(1-1.05*($O$17^1.26))))*'F(T,E)'!K204</f>
        <v>243.20142458392689</v>
      </c>
      <c r="K224" s="17">
        <f>1/$K$29-LN($K$29)+($P$16*EXP($P$16/($D$14*$P$15))/(($D$14*$P$15^2)*(1-1.05*($P$17^1.26))))*'F(T,E)'!L204</f>
        <v>130.57996523940656</v>
      </c>
      <c r="L224" s="17">
        <f>1/$L$29-LN($L$29)+($Q$16*EXP($Q$16/($D$14*$Q$15))/(($D$14*$Q$15^2)*(1-1.05*($Q$17^1.26))))*'F(T,E)'!M204</f>
        <v>1.1772244807778738</v>
      </c>
      <c r="M224" s="17">
        <f>1/$M$29-LN($M$29)+($R$16*EXP($R$16/($D$14*$R$15))/(($D$14*$R$15^2)*(1-1.05*($R$17^1.26))))*'F(T,E)'!N204</f>
        <v>3087.9316315037527</v>
      </c>
      <c r="N224" s="17">
        <f>1/$N$29-LN($N$29)+($S$16*EXP($S$16/($D$14*$S$15))/(($D$14*$S$15^2)*(1-1.05*($S$17^1.26))))*'F(T,E)'!O204</f>
        <v>-11.283057306585533</v>
      </c>
      <c r="O224" s="25"/>
      <c r="P224" s="20">
        <f t="shared" si="55"/>
        <v>7832138.8102615811</v>
      </c>
      <c r="Q224" s="20">
        <f t="shared" si="56"/>
        <v>1232231.9281239337</v>
      </c>
      <c r="R224" s="20">
        <f t="shared" si="57"/>
        <v>84180.136151876039</v>
      </c>
      <c r="S224" s="20">
        <f t="shared" si="58"/>
        <v>31251.058317012907</v>
      </c>
      <c r="T224" s="20">
        <f t="shared" si="59"/>
        <v>42330.491781401404</v>
      </c>
      <c r="U224" s="20">
        <f t="shared" si="60"/>
        <v>237.73028779741125</v>
      </c>
      <c r="V224" s="20">
        <f t="shared" si="61"/>
        <v>125.74570359723516</v>
      </c>
      <c r="W224" s="20">
        <f t="shared" si="62"/>
        <v>1.0905459960995174</v>
      </c>
      <c r="X224" s="20">
        <f t="shared" si="63"/>
        <v>3079.8976758071776</v>
      </c>
      <c r="Y224" s="20">
        <f t="shared" si="64"/>
        <v>1.2584182487447605E-5</v>
      </c>
      <c r="Z224" s="25"/>
      <c r="AA224" s="20">
        <f t="shared" si="66"/>
        <v>5.9731478819894271E-5</v>
      </c>
      <c r="AB224" s="20">
        <f t="shared" si="67"/>
        <v>5.2359945157699121E-4</v>
      </c>
      <c r="AC224" s="20">
        <f t="shared" si="68"/>
        <v>5.0593449919052388E-2</v>
      </c>
      <c r="AD224" s="20">
        <f t="shared" si="69"/>
        <v>3.6910352151476888E-5</v>
      </c>
      <c r="AE224" s="20">
        <f t="shared" si="70"/>
        <v>0.14939168814573167</v>
      </c>
      <c r="AF224" s="20">
        <f t="shared" si="71"/>
        <v>4.0488310400925496</v>
      </c>
      <c r="AG224" s="20">
        <f t="shared" si="72"/>
        <v>77.857689131502681</v>
      </c>
      <c r="AH224" s="20">
        <f t="shared" si="73"/>
        <v>1767.7687508020513</v>
      </c>
      <c r="AI224" s="20">
        <f t="shared" si="74"/>
        <v>0</v>
      </c>
      <c r="AJ224" s="20">
        <v>50</v>
      </c>
      <c r="AK224" s="25"/>
      <c r="AL224" s="20">
        <f t="shared" si="75"/>
        <v>1899.8758763529938</v>
      </c>
      <c r="AM224" s="25"/>
      <c r="AN224" s="20">
        <f t="shared" si="76"/>
        <v>1147.5749986833264</v>
      </c>
      <c r="AO224" s="20">
        <f t="shared" si="77"/>
        <v>33.875876352993828</v>
      </c>
      <c r="AQ224" s="20">
        <f t="shared" si="78"/>
        <v>4.4189206040218517E-6</v>
      </c>
      <c r="AR224" s="20">
        <v>607</v>
      </c>
      <c r="AS224" s="20">
        <f t="shared" si="79"/>
        <v>-0.18154274572879867</v>
      </c>
    </row>
    <row r="225" spans="2:45" x14ac:dyDescent="0.3">
      <c r="B225" s="32">
        <v>335</v>
      </c>
      <c r="C225" s="32">
        <v>1708</v>
      </c>
      <c r="D225" s="7">
        <f t="shared" si="65"/>
        <v>608</v>
      </c>
      <c r="E225" s="17">
        <f>1/$E$29-LN($E$29)+($J$16*EXP($J$16/($D$14*$J$15))/(($D$14*$J$15^2)*(1-1.05*($J$17^1.26))))*'F(T,E)'!F205</f>
        <v>8100258.8096773326</v>
      </c>
      <c r="F225" s="17">
        <f>1/$F$29-LN($F$29)+($K$16*EXP($K$16/($D$14*$K$15))/(($D$14*$K$15^2)*(1-1.05*($K$17^1.26))))*'F(T,E)'!G205</f>
        <v>1285975.6655780489</v>
      </c>
      <c r="G225" s="17">
        <f>1/$G$29-LN($G$29)+($L$16*EXP($L$16/($D$14*$L$15))/(($D$14*$L$15^2)*(1-1.05*($L$17^1.26))))*'F(T,E)'!H205</f>
        <v>88152.767278485393</v>
      </c>
      <c r="H225" s="17">
        <f>1/$H$29-LN($H$29)+($M$16*EXP($M$16/($D$14*$M$15))/(($D$14*$M$15^2)*(1-1.05*($M$17^1.26))))*'F(T,E)'!I205</f>
        <v>33021.330474486029</v>
      </c>
      <c r="I225" s="17">
        <f>1/$I$29-LN($I$29)+($N$16*EXP($N$16/($D$14*$N$15))/(($D$14*$N$15^2)*(1-1.05*($N$17^1.26))))*'F(T,E)'!J205</f>
        <v>45520.138480146394</v>
      </c>
      <c r="J225" s="17">
        <f>1/$J$29-LN($J$29)+($O$16*EXP($O$16/($D$14*$O$15))/(($D$14*$O$15^2)*(1-1.05*($O$17^1.26))))*'F(T,E)'!K205</f>
        <v>257.75485724372072</v>
      </c>
      <c r="K225" s="17">
        <f>1/$K$29-LN($K$29)+($P$16*EXP($P$16/($D$14*$P$15))/(($D$14*$P$15^2)*(1-1.05*($P$17^1.26))))*'F(T,E)'!L205</f>
        <v>140.70852442982638</v>
      </c>
      <c r="L225" s="17">
        <f>1/$L$29-LN($L$29)+($Q$16*EXP($Q$16/($D$14*$Q$15))/(($D$14*$Q$15^2)*(1-1.05*($Q$17^1.26))))*'F(T,E)'!M205</f>
        <v>1.3687247307535544</v>
      </c>
      <c r="M225" s="17">
        <f>1/$M$29-LN($M$29)+($R$16*EXP($R$16/($D$14*$R$15))/(($D$14*$R$15^2)*(1-1.05*($R$17^1.26))))*'F(T,E)'!N205</f>
        <v>3124.8573908485946</v>
      </c>
      <c r="N225" s="17">
        <f>1/$N$29-LN($N$29)+($S$16*EXP($S$16/($D$14*$S$15))/(($D$14*$S$15^2)*(1-1.05*($S$17^1.26))))*'F(T,E)'!O205</f>
        <v>-11.270018084741698</v>
      </c>
      <c r="O225" s="25"/>
      <c r="P225" s="20">
        <f t="shared" si="55"/>
        <v>8100242.9022717439</v>
      </c>
      <c r="Q225" s="20">
        <f t="shared" si="56"/>
        <v>1285961.5985552573</v>
      </c>
      <c r="R225" s="20">
        <f t="shared" si="57"/>
        <v>88141.380516490986</v>
      </c>
      <c r="S225" s="20">
        <f t="shared" si="58"/>
        <v>33010.92572302468</v>
      </c>
      <c r="T225" s="20">
        <f t="shared" si="59"/>
        <v>45509.412687850418</v>
      </c>
      <c r="U225" s="20">
        <f t="shared" si="60"/>
        <v>252.22453753098534</v>
      </c>
      <c r="V225" s="20">
        <f t="shared" si="61"/>
        <v>135.79736065045432</v>
      </c>
      <c r="W225" s="20">
        <f t="shared" si="62"/>
        <v>1.1925939804645942</v>
      </c>
      <c r="X225" s="20">
        <f t="shared" si="63"/>
        <v>3116.8115345241818</v>
      </c>
      <c r="Y225" s="20">
        <f t="shared" si="64"/>
        <v>1.2749342783449957E-5</v>
      </c>
      <c r="Z225" s="25"/>
      <c r="AA225" s="20">
        <f t="shared" si="66"/>
        <v>5.7576079469471049E-5</v>
      </c>
      <c r="AB225" s="20">
        <f t="shared" si="67"/>
        <v>5.0014801809220423E-4</v>
      </c>
      <c r="AC225" s="20">
        <f t="shared" si="68"/>
        <v>4.8167150800018828E-2</v>
      </c>
      <c r="AD225" s="20">
        <f t="shared" si="69"/>
        <v>3.4830480270660132E-5</v>
      </c>
      <c r="AE225" s="20">
        <f t="shared" si="70"/>
        <v>0.1385081658710981</v>
      </c>
      <c r="AF225" s="20">
        <f t="shared" si="71"/>
        <v>3.7994421392030033</v>
      </c>
      <c r="AG225" s="20">
        <f t="shared" si="72"/>
        <v>71.75958884647298</v>
      </c>
      <c r="AH225" s="20">
        <f t="shared" si="73"/>
        <v>1660.9824889681061</v>
      </c>
      <c r="AI225" s="20">
        <f t="shared" si="74"/>
        <v>0</v>
      </c>
      <c r="AJ225" s="20">
        <v>50</v>
      </c>
      <c r="AK225" s="25"/>
      <c r="AL225" s="20">
        <f t="shared" si="75"/>
        <v>1786.7287878250311</v>
      </c>
      <c r="AM225" s="25"/>
      <c r="AN225" s="20">
        <f t="shared" si="76"/>
        <v>6198.2220323987613</v>
      </c>
      <c r="AO225" s="20">
        <f t="shared" si="77"/>
        <v>78.728787825031077</v>
      </c>
      <c r="AQ225" s="20">
        <f t="shared" si="78"/>
        <v>1.0269734693341703E-5</v>
      </c>
      <c r="AR225" s="20">
        <v>608</v>
      </c>
      <c r="AS225" s="20">
        <f t="shared" si="79"/>
        <v>-0.4609413807086129</v>
      </c>
    </row>
    <row r="226" spans="2:45" x14ac:dyDescent="0.3">
      <c r="B226" s="32">
        <v>337</v>
      </c>
      <c r="C226" s="32">
        <v>1538</v>
      </c>
      <c r="D226" s="7">
        <f t="shared" si="65"/>
        <v>610</v>
      </c>
      <c r="E226" s="17">
        <f>1/$E$29-LN($E$29)+($J$16*EXP($J$16/($D$14*$J$15))/(($D$14*$J$15^2)*(1-1.05*($J$17^1.26))))*'F(T,E)'!F206</f>
        <v>8661567.9003677182</v>
      </c>
      <c r="F226" s="17">
        <f>1/$F$29-LN($F$29)+($K$16*EXP($K$16/($D$14*$K$15))/(($D$14*$K$15^2)*(1-1.05*($K$17^1.26))))*'F(T,E)'!G206</f>
        <v>1399998.2141773624</v>
      </c>
      <c r="G226" s="17">
        <f>1/$G$29-LN($G$29)+($L$16*EXP($L$16/($D$14*$L$15))/(($D$14*$L$15^2)*(1-1.05*($L$17^1.26))))*'F(T,E)'!H206</f>
        <v>96600.974696261197</v>
      </c>
      <c r="H226" s="17">
        <f>1/$H$29-LN($H$29)+($M$16*EXP($M$16/($D$14*$M$15))/(($D$14*$M$15^2)*(1-1.05*($M$17^1.26))))*'F(T,E)'!I206</f>
        <v>36824.585347827473</v>
      </c>
      <c r="I226" s="17">
        <f>1/$I$29-LN($I$29)+($N$16*EXP($N$16/($D$14*$N$15))/(($D$14*$N$15^2)*(1-1.05*($N$17^1.26))))*'F(T,E)'!J206</f>
        <v>52575.37155345959</v>
      </c>
      <c r="J226" s="17">
        <f>1/$J$29-LN($J$29)+($O$16*EXP($O$16/($D$14*$O$15))/(($D$14*$O$15^2)*(1-1.05*($O$17^1.26))))*'F(T,E)'!K206</f>
        <v>289.34725816885538</v>
      </c>
      <c r="K226" s="17">
        <f>1/$K$29-LN($K$29)+($P$16*EXP($P$16/($D$14*$P$15))/(($D$14*$P$15^2)*(1-1.05*($P$17^1.26))))*'F(T,E)'!L206</f>
        <v>163.27167464970998</v>
      </c>
      <c r="L226" s="17">
        <f>1/$L$29-LN($L$29)+($Q$16*EXP($Q$16/($D$14*$Q$15))/(($D$14*$Q$15^2)*(1-1.05*($Q$17^1.26))))*'F(T,E)'!M206</f>
        <v>1.7973615699643783</v>
      </c>
      <c r="M226" s="17">
        <f>1/$M$29-LN($M$29)+($R$16*EXP($R$16/($D$14*$R$15))/(($D$14*$R$15^2)*(1-1.05*($R$17^1.26))))*'F(T,E)'!N206</f>
        <v>3199.6763569686518</v>
      </c>
      <c r="N226" s="17">
        <f>1/$N$29-LN($N$29)+($S$16*EXP($S$16/($D$14*$S$15))/(($D$14*$S$15^2)*(1-1.05*($S$17^1.26))))*'F(T,E)'!O206</f>
        <v>-11.241821633673711</v>
      </c>
      <c r="O226" s="25"/>
      <c r="P226" s="20">
        <f t="shared" si="55"/>
        <v>8661551.9259623252</v>
      </c>
      <c r="Q226" s="20">
        <f t="shared" si="56"/>
        <v>1399984.0622008976</v>
      </c>
      <c r="R226" s="20">
        <f t="shared" si="57"/>
        <v>96589.496411562141</v>
      </c>
      <c r="S226" s="20">
        <f t="shared" si="58"/>
        <v>36814.071569603089</v>
      </c>
      <c r="T226" s="20">
        <f t="shared" si="59"/>
        <v>52564.501653767358</v>
      </c>
      <c r="U226" s="20">
        <f t="shared" si="60"/>
        <v>283.69934314236798</v>
      </c>
      <c r="V226" s="20">
        <f t="shared" si="61"/>
        <v>158.20776550892546</v>
      </c>
      <c r="W226" s="20">
        <f t="shared" si="62"/>
        <v>1.4357053254878311</v>
      </c>
      <c r="X226" s="20">
        <f t="shared" si="63"/>
        <v>3191.6068132142536</v>
      </c>
      <c r="Y226" s="20">
        <f t="shared" si="64"/>
        <v>1.3113940311880551E-5</v>
      </c>
      <c r="Z226" s="25"/>
      <c r="AA226" s="20">
        <f t="shared" si="66"/>
        <v>5.3513639775688686E-5</v>
      </c>
      <c r="AB226" s="20">
        <f t="shared" si="67"/>
        <v>4.5654162991481842E-4</v>
      </c>
      <c r="AC226" s="20">
        <f t="shared" si="68"/>
        <v>4.3677937442657411E-2</v>
      </c>
      <c r="AD226" s="20">
        <f t="shared" si="69"/>
        <v>3.10328165392428E-5</v>
      </c>
      <c r="AE226" s="20">
        <f t="shared" si="70"/>
        <v>0.11914796355884745</v>
      </c>
      <c r="AF226" s="20">
        <f t="shared" si="71"/>
        <v>3.349019384117891</v>
      </c>
      <c r="AG226" s="20">
        <f t="shared" si="72"/>
        <v>61.036973603410573</v>
      </c>
      <c r="AH226" s="20">
        <f t="shared" si="73"/>
        <v>1441.3840752270562</v>
      </c>
      <c r="AI226" s="20">
        <f t="shared" si="74"/>
        <v>0</v>
      </c>
      <c r="AJ226" s="20">
        <v>50</v>
      </c>
      <c r="AK226" s="25"/>
      <c r="AL226" s="20">
        <f t="shared" si="75"/>
        <v>1555.9334352036724</v>
      </c>
      <c r="AM226" s="25"/>
      <c r="AN226" s="20">
        <f t="shared" si="76"/>
        <v>321.60809820431615</v>
      </c>
      <c r="AO226" s="20">
        <f t="shared" si="77"/>
        <v>17.933435203672389</v>
      </c>
      <c r="AQ226" s="20">
        <f t="shared" si="78"/>
        <v>2.3393173802098619E-6</v>
      </c>
      <c r="AR226" s="20">
        <v>610</v>
      </c>
      <c r="AS226" s="20">
        <f t="shared" si="79"/>
        <v>-0.11660230951672554</v>
      </c>
    </row>
    <row r="227" spans="2:45" x14ac:dyDescent="0.3">
      <c r="B227" s="32">
        <v>338</v>
      </c>
      <c r="C227" s="32">
        <v>1362</v>
      </c>
      <c r="D227" s="7">
        <f t="shared" si="65"/>
        <v>611</v>
      </c>
      <c r="E227" s="17">
        <f>1/$E$29-LN($E$29)+($J$16*EXP($J$16/($D$14*$J$15))/(($D$14*$J$15^2)*(1-1.05*($J$17^1.26))))*'F(T,E)'!F207</f>
        <v>8955233.9739742856</v>
      </c>
      <c r="F227" s="17">
        <f>1/$F$29-LN($F$29)+($K$16*EXP($K$16/($D$14*$K$15))/(($D$14*$K$15^2)*(1-1.05*($K$17^1.26))))*'F(T,E)'!G207</f>
        <v>1460452.481987711</v>
      </c>
      <c r="G227" s="17">
        <f>1/$G$29-LN($G$29)+($L$16*EXP($L$16/($D$14*$L$15))/(($D$14*$L$15^2)*(1-1.05*($L$17^1.26))))*'F(T,E)'!H207</f>
        <v>101102.02685523027</v>
      </c>
      <c r="H227" s="17">
        <f>1/$H$29-LN($H$29)+($M$16*EXP($M$16/($D$14*$M$15))/(($D$14*$M$15^2)*(1-1.05*($M$17^1.26))))*'F(T,E)'!I207</f>
        <v>38877.284736951275</v>
      </c>
      <c r="I227" s="17">
        <f>1/$I$29-LN($I$29)+($N$16*EXP($N$16/($D$14*$N$15))/(($D$14*$N$15^2)*(1-1.05*($N$17^1.26))))*'F(T,E)'!J207</f>
        <v>56483.443394006237</v>
      </c>
      <c r="J227" s="17">
        <f>1/$J$29-LN($J$29)+($O$16*EXP($O$16/($D$14*$O$15))/(($D$14*$O$15^2)*(1-1.05*($O$17^1.26))))*'F(T,E)'!K207</f>
        <v>306.4736275153158</v>
      </c>
      <c r="K227" s="17">
        <f>1/$K$29-LN($K$29)+($P$16*EXP($P$16/($D$14*$P$15))/(($D$14*$P$15^2)*(1-1.05*($P$17^1.26))))*'F(T,E)'!L207</f>
        <v>175.8156919990515</v>
      </c>
      <c r="L227" s="17">
        <f>1/$L$29-LN($L$29)+($Q$16*EXP($Q$16/($D$14*$Q$15))/(($D$14*$Q$15^2)*(1-1.05*($Q$17^1.26))))*'F(T,E)'!M207</f>
        <v>2.0367681433479872</v>
      </c>
      <c r="M227" s="17">
        <f>1/$M$29-LN($M$29)+($R$16*EXP($R$16/($D$14*$R$15))/(($D$14*$R$15^2)*(1-1.05*($R$17^1.26))))*'F(T,E)'!N207</f>
        <v>3237.5727219252926</v>
      </c>
      <c r="N227" s="17">
        <f>1/$N$29-LN($N$29)+($S$16*EXP($S$16/($D$14*$S$15))/(($D$14*$S$15^2)*(1-1.05*($S$17^1.26))))*'F(T,E)'!O207</f>
        <v>-11.226593762344201</v>
      </c>
      <c r="O227" s="25"/>
      <c r="P227" s="20">
        <f t="shared" ref="P227:P234" si="80">lmb_2(E227)</f>
        <v>8955217.9662264585</v>
      </c>
      <c r="Q227" s="20">
        <f t="shared" ref="Q227:Q234" si="81">lmb_2(F227)</f>
        <v>1460438.2877357057</v>
      </c>
      <c r="R227" s="20">
        <f t="shared" ref="R227:R234" si="82">lmb_2(G227)</f>
        <v>101090.50302676881</v>
      </c>
      <c r="S227" s="20">
        <f t="shared" ref="S227:S234" si="83">lmb_2(H227)</f>
        <v>38866.716707449123</v>
      </c>
      <c r="T227" s="20">
        <f t="shared" ref="T227:T234" si="84">lmb_2(I227)</f>
        <v>56472.50178802693</v>
      </c>
      <c r="U227" s="20">
        <f t="shared" ref="U227:U234" si="85">lmb_2(J227)</f>
        <v>300.7672906702756</v>
      </c>
      <c r="V227" s="20">
        <f t="shared" ref="V227:V234" si="86">lmb_2(K227)</f>
        <v>170.6759254136808</v>
      </c>
      <c r="W227" s="20">
        <f t="shared" ref="W227:W234" si="87">lmb_2(L227)</f>
        <v>1.5795978524632301</v>
      </c>
      <c r="X227" s="20">
        <f t="shared" ref="X227:X234" si="88">lmb_2(M227)</f>
        <v>3229.4913910039027</v>
      </c>
      <c r="Y227" s="20">
        <f t="shared" ref="Y227:Y234" si="89">lmb_2(N227)</f>
        <v>1.331516325875795E-5</v>
      </c>
      <c r="Z227" s="25"/>
      <c r="AA227" s="20">
        <f t="shared" si="66"/>
        <v>5.1599751762312732E-5</v>
      </c>
      <c r="AB227" s="20">
        <f t="shared" si="67"/>
        <v>4.3627694471850187E-4</v>
      </c>
      <c r="AC227" s="20">
        <f t="shared" si="68"/>
        <v>4.1602168565524789E-2</v>
      </c>
      <c r="AD227" s="20">
        <f t="shared" si="69"/>
        <v>2.9300209199185763E-5</v>
      </c>
      <c r="AE227" s="20">
        <f t="shared" si="70"/>
        <v>0.11054720209931887</v>
      </c>
      <c r="AF227" s="20">
        <f t="shared" si="71"/>
        <v>3.1457100356929302</v>
      </c>
      <c r="AG227" s="20">
        <f t="shared" si="72"/>
        <v>56.327353014474603</v>
      </c>
      <c r="AH227" s="20">
        <f t="shared" si="73"/>
        <v>1332.1080616551155</v>
      </c>
      <c r="AI227" s="20">
        <f t="shared" si="74"/>
        <v>0</v>
      </c>
      <c r="AJ227" s="20">
        <v>50</v>
      </c>
      <c r="AK227" s="25"/>
      <c r="AL227" s="20">
        <f t="shared" si="75"/>
        <v>1441.7337912528535</v>
      </c>
      <c r="AM227" s="25"/>
      <c r="AN227" s="20">
        <f t="shared" si="76"/>
        <v>6357.4774675536182</v>
      </c>
      <c r="AO227" s="20">
        <f t="shared" si="77"/>
        <v>79.733791252853507</v>
      </c>
      <c r="AQ227" s="20">
        <f t="shared" si="78"/>
        <v>1.040083182889742E-5</v>
      </c>
      <c r="AR227" s="20">
        <v>611</v>
      </c>
      <c r="AS227" s="20">
        <f t="shared" si="79"/>
        <v>-0.58541696955105371</v>
      </c>
    </row>
    <row r="228" spans="2:45" x14ac:dyDescent="0.3">
      <c r="B228" s="32">
        <v>340</v>
      </c>
      <c r="C228" s="32">
        <v>1228</v>
      </c>
      <c r="D228" s="7">
        <f t="shared" ref="D228:D234" si="90">B228+273</f>
        <v>613</v>
      </c>
      <c r="E228" s="17">
        <f>1/$E$29-LN($E$29)+($J$16*EXP($J$16/($D$14*$J$15))/(($D$14*$J$15^2)*(1-1.05*($J$17^1.26))))*'F(T,E)'!F208</f>
        <v>9569783.3469045255</v>
      </c>
      <c r="F228" s="17">
        <f>1/$F$29-LN($F$29)+($K$16*EXP($K$16/($D$14*$K$15))/(($D$14*$K$15^2)*(1-1.05*($K$17^1.26))))*'F(T,E)'!G208</f>
        <v>1588670.7700226705</v>
      </c>
      <c r="G228" s="17">
        <f>1/$G$29-LN($G$29)+($L$16*EXP($L$16/($D$14*$L$15))/(($D$14*$L$15^2)*(1-1.05*($L$17^1.26))))*'F(T,E)'!H208</f>
        <v>110695.31675007066</v>
      </c>
      <c r="H228" s="17">
        <f>1/$H$29-LN($H$29)+($M$16*EXP($M$16/($D$14*$M$15))/(($D$14*$M$15^2)*(1-1.05*($M$17^1.26))))*'F(T,E)'!I208</f>
        <v>43309.863596052586</v>
      </c>
      <c r="I228" s="17">
        <f>1/$I$29-LN($I$29)+($N$16*EXP($N$16/($D$14*$N$15))/(($D$14*$N$15^2)*(1-1.05*($N$17^1.26))))*'F(T,E)'!J208</f>
        <v>65147.8585713879</v>
      </c>
      <c r="J228" s="17">
        <f>1/$J$29-LN($J$29)+($O$16*EXP($O$16/($D$14*$O$15))/(($D$14*$O$15^2)*(1-1.05*($O$17^1.26))))*'F(T,E)'!K208</f>
        <v>343.62136473228799</v>
      </c>
      <c r="K228" s="17">
        <f>1/$K$29-LN($K$29)+($P$16*EXP($P$16/($D$14*$P$15))/(($D$14*$P$15^2)*(1-1.05*($P$17^1.26))))*'F(T,E)'!L208</f>
        <v>203.73004331509335</v>
      </c>
      <c r="L228" s="17">
        <f>1/$L$29-LN($L$29)+($Q$16*EXP($Q$16/($D$14*$Q$15))/(($D$14*$Q$15^2)*(1-1.05*($Q$17^1.26))))*'F(T,E)'!M208</f>
        <v>2.5720401992897841</v>
      </c>
      <c r="M228" s="17">
        <f>1/$M$29-LN($M$29)+($R$16*EXP($R$16/($D$14*$R$15))/(($D$14*$R$15^2)*(1-1.05*($R$17^1.26))))*'F(T,E)'!N208</f>
        <v>3314.3470966136042</v>
      </c>
      <c r="N228" s="17">
        <f>1/$N$29-LN($N$29)+($S$16*EXP($S$16/($D$14*$S$15))/(($D$14*$S$15^2)*(1-1.05*($S$17^1.26))))*'F(T,E)'!O208</f>
        <v>-11.193689788026598</v>
      </c>
      <c r="O228" s="25"/>
      <c r="P228" s="20">
        <f t="shared" si="80"/>
        <v>9569767.2727842405</v>
      </c>
      <c r="Q228" s="20">
        <f t="shared" si="81"/>
        <v>1588656.4916189334</v>
      </c>
      <c r="R228" s="20">
        <f t="shared" si="82"/>
        <v>110683.70226572038</v>
      </c>
      <c r="S228" s="20">
        <f t="shared" si="83"/>
        <v>43299.187583620798</v>
      </c>
      <c r="T228" s="20">
        <f t="shared" si="84"/>
        <v>65136.774241746301</v>
      </c>
      <c r="U228" s="20">
        <f t="shared" si="85"/>
        <v>337.79891394300824</v>
      </c>
      <c r="V228" s="20">
        <f t="shared" si="86"/>
        <v>198.4395587512507</v>
      </c>
      <c r="W228" s="20">
        <f t="shared" si="87"/>
        <v>1.919812614583857</v>
      </c>
      <c r="X228" s="20">
        <f t="shared" si="88"/>
        <v>3306.2423035523325</v>
      </c>
      <c r="Y228" s="20">
        <f t="shared" si="89"/>
        <v>1.3760566605339853E-5</v>
      </c>
      <c r="Z228" s="25"/>
      <c r="AA228" s="20">
        <f t="shared" ref="AA228:AA234" si="91">($J$14*$D$13*($P$32+$P$32^2)/(P228+P228^2)*EXP($J$16*(D228-$J$15)/($D$14*$J$15*D228)))</f>
        <v>4.7990642198843277E-5</v>
      </c>
      <c r="AB228" s="20">
        <f t="shared" ref="AB228:AB234" si="92">($K$14*$D$13*($Q$32+$Q$32^2)/(Q228+Q228^2)*EXP($K$16*(D228-$K$15)/($D$14*$K$15*D228)))</f>
        <v>3.9857173154941573E-4</v>
      </c>
      <c r="AC228" s="20">
        <f t="shared" ref="AC228:AC234" si="93">($L$14*$D$13*($R$32+$R$32^2)/(R228+R228^2)*EXP($L$16*(D228-$L$15)/($D$14*$L$15*D228)))</f>
        <v>3.7758834397020553E-2</v>
      </c>
      <c r="AD228" s="20">
        <f t="shared" ref="AD228:AD234" si="94">($M$14*$D$13*($S$32+$S$32^2)/(S228+S228^2)*EXP($M$16*(D228-$M$15)/($D$14*$M$15*D228)))</f>
        <v>2.6133936513725956E-5</v>
      </c>
      <c r="AE228" s="20">
        <f t="shared" ref="AE228:AE234" si="95">($N$14*$D$13*($T$32+$T$32^2)/(T228+T228^2)*EXP($N$16*(D228-$N$15)/($D$14*$N$15*D228)))</f>
        <v>9.5230963496288956E-2</v>
      </c>
      <c r="AF228" s="20">
        <f t="shared" ref="AF228:AF234" si="96">($O$14*$D$13*($U$32+$U$32^2)/(U228+U228^2)*EXP($O$16*(D228-$O$15)/($D$14*$O$15*D228)))</f>
        <v>2.7778550420854571</v>
      </c>
      <c r="AG228" s="20">
        <f t="shared" ref="AG228:AG234" si="97">($P$14*$D$13*($V$32+$V$32^2)/(V228+V228^2)*EXP($P$16*(D228-$P$15)/($D$14*$P$15*D228)))</f>
        <v>48.0276974476158</v>
      </c>
      <c r="AH228" s="20">
        <f t="shared" ref="AH228:AH234" si="98">($Q$14*$D$13*($W$32+$W$32^2)/(W228+W228^2)*EXP($Q$16*(D228-$Q$15)/($D$14*$Q$15*D228)))</f>
        <v>1122.1366804784243</v>
      </c>
      <c r="AI228" s="20">
        <f t="shared" ref="AI228:AI234" si="99">($R$14*$D$13*($X$32+$X$32^2)/(X228+X228^2)*EXP($R$16*(D228-$R$15)/($D$14*$R$15*D228)))</f>
        <v>0</v>
      </c>
      <c r="AJ228" s="20">
        <v>50</v>
      </c>
      <c r="AK228" s="25"/>
      <c r="AL228" s="20">
        <f t="shared" ref="AL228:AL234" si="100">SUM(AA228:AJ228)</f>
        <v>1223.0756954623291</v>
      </c>
      <c r="AM228" s="25"/>
      <c r="AN228" s="20">
        <f t="shared" ref="AN228:AN234" si="101">(AL228-C228)^2</f>
        <v>24.248775179726</v>
      </c>
      <c r="AO228" s="20">
        <f t="shared" ref="AO228:AO234" si="102">ABS(AL228-C228)</f>
        <v>4.9243045376708778</v>
      </c>
      <c r="AQ228" s="20">
        <f t="shared" ref="AQ228:AQ234" si="103">AO228/$AP$35</f>
        <v>6.4234827625556199E-7</v>
      </c>
      <c r="AR228" s="20">
        <v>613</v>
      </c>
      <c r="AS228" s="20">
        <f t="shared" ref="AS228:AS234" si="104">(C228-AL228)/C228*10</f>
        <v>4.010019981816676E-2</v>
      </c>
    </row>
    <row r="229" spans="2:45" x14ac:dyDescent="0.3">
      <c r="B229" s="32">
        <v>341</v>
      </c>
      <c r="C229" s="32">
        <v>1031</v>
      </c>
      <c r="D229" s="7">
        <f t="shared" si="90"/>
        <v>614</v>
      </c>
      <c r="E229" s="17">
        <f>1/$E$29-LN($E$29)+($J$16*EXP($J$16/($D$14*$J$15))/(($D$14*$J$15^2)*(1-1.05*($J$17^1.26))))*'F(T,E)'!F209</f>
        <v>9891161.3348252289</v>
      </c>
      <c r="F229" s="17">
        <f>1/$F$29-LN($F$29)+($K$16*EXP($K$16/($D$14*$K$15))/(($D$14*$K$15^2)*(1-1.05*($K$17^1.26))))*'F(T,E)'!G209</f>
        <v>1656612.7020674425</v>
      </c>
      <c r="G229" s="17">
        <f>1/$G$29-LN($G$29)+($L$16*EXP($L$16/($D$14*$L$15))/(($D$14*$L$15^2)*(1-1.05*($L$17^1.26))))*'F(T,E)'!H209</f>
        <v>115803.28618393721</v>
      </c>
      <c r="H229" s="17">
        <f>1/$H$29-LN($H$29)+($M$16*EXP($M$16/($D$14*$M$15))/(($D$14*$M$15^2)*(1-1.05*($M$17^1.26))))*'F(T,E)'!I209</f>
        <v>45700.443424546131</v>
      </c>
      <c r="I229" s="17">
        <f>1/$I$29-LN($I$29)+($N$16*EXP($N$16/($D$14*$N$15))/(($D$14*$N$15^2)*(1-1.05*($N$17^1.26))))*'F(T,E)'!J209</f>
        <v>69942.523632412951</v>
      </c>
      <c r="J229" s="17">
        <f>1/$J$29-LN($J$29)+($O$16*EXP($O$16/($D$14*$O$15))/(($D$14*$O$15^2)*(1-1.05*($O$17^1.26))))*'F(T,E)'!K209</f>
        <v>363.74346902841097</v>
      </c>
      <c r="K229" s="17">
        <f>1/$K$29-LN($K$29)+($P$16*EXP($P$16/($D$14*$P$15))/(($D$14*$P$15^2)*(1-1.05*($P$17^1.26))))*'F(T,E)'!L209</f>
        <v>219.23308791136208</v>
      </c>
      <c r="L229" s="17">
        <f>1/$L$29-LN($L$29)+($Q$16*EXP($Q$16/($D$14*$Q$15))/(($D$14*$Q$15^2)*(1-1.05*($Q$17^1.26))))*'F(T,E)'!M209</f>
        <v>2.8706845539654888</v>
      </c>
      <c r="M229" s="17">
        <f>1/$M$29-LN($M$29)+($R$16*EXP($R$16/($D$14*$R$15))/(($D$14*$R$15^2)*(1-1.05*($R$17^1.26))))*'F(T,E)'!N209</f>
        <v>3353.2282526791864</v>
      </c>
      <c r="N229" s="17">
        <f>1/$N$29-LN($N$29)+($S$16*EXP($S$16/($D$14*$S$15))/(($D$14*$S$15^2)*(1-1.05*($S$17^1.26))))*'F(T,E)'!O209</f>
        <v>-11.175932881631695</v>
      </c>
      <c r="O229" s="25"/>
      <c r="P229" s="20">
        <f t="shared" si="80"/>
        <v>9891145.2276739217</v>
      </c>
      <c r="Q229" s="20">
        <f t="shared" si="81"/>
        <v>1656598.38178623</v>
      </c>
      <c r="R229" s="20">
        <f t="shared" si="82"/>
        <v>115791.62658605786</v>
      </c>
      <c r="S229" s="20">
        <f t="shared" si="83"/>
        <v>45689.713678659777</v>
      </c>
      <c r="T229" s="20">
        <f t="shared" si="84"/>
        <v>69931.368283067277</v>
      </c>
      <c r="U229" s="20">
        <f t="shared" si="85"/>
        <v>357.86331790846378</v>
      </c>
      <c r="V229" s="20">
        <f t="shared" si="86"/>
        <v>213.86773017074674</v>
      </c>
      <c r="W229" s="20">
        <f t="shared" si="87"/>
        <v>2.1195029502162002</v>
      </c>
      <c r="X229" s="20">
        <f t="shared" si="88"/>
        <v>3345.1117842882868</v>
      </c>
      <c r="Y229" s="20">
        <f t="shared" si="89"/>
        <v>1.4007090549736452E-5</v>
      </c>
      <c r="Z229" s="25"/>
      <c r="AA229" s="20">
        <f t="shared" si="91"/>
        <v>4.6289441399994887E-5</v>
      </c>
      <c r="AB229" s="20">
        <f t="shared" si="92"/>
        <v>3.8103798474568791E-4</v>
      </c>
      <c r="AC229" s="20">
        <f t="shared" si="93"/>
        <v>3.5980459337698965E-2</v>
      </c>
      <c r="AD229" s="20">
        <f t="shared" si="94"/>
        <v>2.4688148986830443E-5</v>
      </c>
      <c r="AE229" s="20">
        <f t="shared" si="95"/>
        <v>8.8419153618824464E-2</v>
      </c>
      <c r="AF229" s="20">
        <f t="shared" si="96"/>
        <v>2.6115221679637113</v>
      </c>
      <c r="AG229" s="20">
        <f t="shared" si="97"/>
        <v>44.37416521055669</v>
      </c>
      <c r="AH229" s="20">
        <f t="shared" si="98"/>
        <v>1023.7514761285975</v>
      </c>
      <c r="AI229" s="20">
        <f t="shared" si="99"/>
        <v>0</v>
      </c>
      <c r="AJ229" s="20">
        <v>50</v>
      </c>
      <c r="AK229" s="25"/>
      <c r="AL229" s="20">
        <f t="shared" si="100"/>
        <v>1120.8620151356495</v>
      </c>
      <c r="AM229" s="25"/>
      <c r="AN229" s="20">
        <f t="shared" si="101"/>
        <v>8075.1817642396945</v>
      </c>
      <c r="AO229" s="20">
        <f t="shared" si="102"/>
        <v>89.862015135649472</v>
      </c>
      <c r="AQ229" s="20">
        <f t="shared" si="103"/>
        <v>1.172200258567632E-5</v>
      </c>
      <c r="AR229" s="20">
        <v>614</v>
      </c>
      <c r="AS229" s="20">
        <f t="shared" si="104"/>
        <v>-0.8716005347783653</v>
      </c>
    </row>
    <row r="230" spans="2:45" x14ac:dyDescent="0.3">
      <c r="B230" s="32">
        <v>343</v>
      </c>
      <c r="C230" s="32">
        <v>955</v>
      </c>
      <c r="D230" s="7">
        <f t="shared" si="90"/>
        <v>616</v>
      </c>
      <c r="E230" s="17">
        <f>1/$E$29-LN($E$29)+($J$16*EXP($J$16/($D$14*$J$15))/(($D$14*$J$15^2)*(1-1.05*($J$17^1.26))))*'F(T,E)'!F210</f>
        <v>10563404.537577147</v>
      </c>
      <c r="F230" s="17">
        <f>1/$F$29-LN($F$29)+($K$16*EXP($K$16/($D$14*$K$15))/(($D$14*$K$15^2)*(1-1.05*($K$17^1.26))))*'F(T,E)'!G210</f>
        <v>1800628.9199288064</v>
      </c>
      <c r="G230" s="17">
        <f>1/$G$29-LN($G$29)+($L$16*EXP($L$16/($D$14*$L$15))/(($D$14*$L$15^2)*(1-1.05*($L$17^1.26))))*'F(T,E)'!H210</f>
        <v>126683.35066665043</v>
      </c>
      <c r="H230" s="17">
        <f>1/$H$29-LN($H$29)+($M$16*EXP($M$16/($D$14*$M$15))/(($D$14*$M$15^2)*(1-1.05*($M$17^1.26))))*'F(T,E)'!I210</f>
        <v>50858.764628732017</v>
      </c>
      <c r="I230" s="17">
        <f>1/$I$29-LN($I$29)+($N$16*EXP($N$16/($D$14*$N$15))/(($D$14*$N$15^2)*(1-1.05*($N$17^1.26))))*'F(T,E)'!J210</f>
        <v>80561.838682045913</v>
      </c>
      <c r="J230" s="17">
        <f>1/$J$29-LN($J$29)+($O$16*EXP($O$16/($D$14*$O$15))/(($D$14*$O$15^2)*(1-1.05*($O$17^1.26))))*'F(T,E)'!K210</f>
        <v>407.35441105019441</v>
      </c>
      <c r="K230" s="17">
        <f>1/$K$29-LN($K$29)+($P$16*EXP($P$16/($D$14*$P$15))/(($D$14*$P$15^2)*(1-1.05*($P$17^1.26))))*'F(T,E)'!L210</f>
        <v>253.69612205306748</v>
      </c>
      <c r="L230" s="17">
        <f>1/$L$29-LN($L$29)+($Q$16*EXP($Q$16/($D$14*$Q$15))/(($D$14*$Q$15^2)*(1-1.05*($Q$17^1.26))))*'F(T,E)'!M210</f>
        <v>3.5376729172116925</v>
      </c>
      <c r="M230" s="17">
        <f>1/$M$29-LN($M$29)+($R$16*EXP($R$16/($D$14*$R$15))/(($D$14*$R$15^2)*(1-1.05*($R$17^1.26))))*'F(T,E)'!N210</f>
        <v>3431.9863521709035</v>
      </c>
      <c r="N230" s="17">
        <f>1/$N$29-LN($N$29)+($S$16*EXP($S$16/($D$14*$S$15))/(($D$14*$S$15^2)*(1-1.05*($S$17^1.26))))*'F(T,E)'!O210</f>
        <v>-11.137593266432789</v>
      </c>
      <c r="O230" s="25"/>
      <c r="P230" s="20">
        <f t="shared" si="80"/>
        <v>10563388.364671728</v>
      </c>
      <c r="Q230" s="20">
        <f t="shared" si="81"/>
        <v>1800614.5162862442</v>
      </c>
      <c r="R230" s="20">
        <f t="shared" si="82"/>
        <v>126671.60126707357</v>
      </c>
      <c r="S230" s="20">
        <f t="shared" si="83"/>
        <v>50847.927927521232</v>
      </c>
      <c r="T230" s="20">
        <f t="shared" si="84"/>
        <v>80550.541971807499</v>
      </c>
      <c r="U230" s="20">
        <f t="shared" si="85"/>
        <v>401.3595533827787</v>
      </c>
      <c r="V230" s="20">
        <f t="shared" si="86"/>
        <v>248.18195986679515</v>
      </c>
      <c r="W230" s="20">
        <f t="shared" si="87"/>
        <v>2.587125502448373</v>
      </c>
      <c r="X230" s="20">
        <f t="shared" si="88"/>
        <v>3423.8466437194115</v>
      </c>
      <c r="Y230" s="20">
        <f t="shared" si="89"/>
        <v>1.4554536573227903E-5</v>
      </c>
      <c r="Z230" s="25"/>
      <c r="AA230" s="20">
        <f t="shared" si="91"/>
        <v>4.3079771503583613E-5</v>
      </c>
      <c r="AB230" s="20">
        <f t="shared" si="92"/>
        <v>3.4839325075673293E-4</v>
      </c>
      <c r="AC230" s="20">
        <f t="shared" si="93"/>
        <v>3.2685490926604693E-2</v>
      </c>
      <c r="AD230" s="20">
        <f t="shared" si="94"/>
        <v>2.2043829650538302E-5</v>
      </c>
      <c r="AE230" s="20">
        <f t="shared" si="95"/>
        <v>7.6275646752129028E-2</v>
      </c>
      <c r="AF230" s="20">
        <f t="shared" si="96"/>
        <v>2.3100747991703474</v>
      </c>
      <c r="AG230" s="20">
        <f t="shared" si="97"/>
        <v>37.922178257725349</v>
      </c>
      <c r="AH230" s="20">
        <f t="shared" si="98"/>
        <v>844.01157348835602</v>
      </c>
      <c r="AI230" s="20">
        <f t="shared" si="99"/>
        <v>0</v>
      </c>
      <c r="AJ230" s="20">
        <v>50</v>
      </c>
      <c r="AK230" s="25"/>
      <c r="AL230" s="20">
        <f t="shared" si="100"/>
        <v>934.35320119978235</v>
      </c>
      <c r="AM230" s="25"/>
      <c r="AN230" s="20">
        <f t="shared" si="101"/>
        <v>426.29030069666908</v>
      </c>
      <c r="AO230" s="20">
        <f t="shared" si="102"/>
        <v>20.646798800217653</v>
      </c>
      <c r="AQ230" s="20">
        <f t="shared" si="103"/>
        <v>2.693260645855211E-6</v>
      </c>
      <c r="AR230" s="20">
        <v>616</v>
      </c>
      <c r="AS230" s="20">
        <f t="shared" si="104"/>
        <v>0.21619684607557751</v>
      </c>
    </row>
    <row r="231" spans="2:45" x14ac:dyDescent="0.3">
      <c r="B231" s="32">
        <v>344</v>
      </c>
      <c r="C231" s="32">
        <v>802</v>
      </c>
      <c r="D231" s="7">
        <f t="shared" si="90"/>
        <v>617</v>
      </c>
      <c r="E231" s="17">
        <f>1/$E$29-LN($E$29)+($J$16*EXP($J$16/($D$14*$J$15))/(($D$14*$J$15^2)*(1-1.05*($J$17^1.26))))*'F(T,E)'!F211</f>
        <v>10914800.046487605</v>
      </c>
      <c r="F231" s="17">
        <f>1/$F$29-LN($F$29)+($K$16*EXP($K$16/($D$14*$K$15))/(($D$14*$K$15^2)*(1-1.05*($K$17^1.26))))*'F(T,E)'!G211</f>
        <v>1876899.0734494799</v>
      </c>
      <c r="G231" s="17">
        <f>1/$G$29-LN($G$29)+($L$16*EXP($L$16/($D$14*$L$15))/(($D$14*$L$15^2)*(1-1.05*($L$17^1.26))))*'F(T,E)'!H211</f>
        <v>132472.93432229862</v>
      </c>
      <c r="H231" s="17">
        <f>1/$H$29-LN($H$29)+($M$16*EXP($M$16/($D$14*$M$15))/(($D$14*$M$15^2)*(1-1.05*($M$17^1.26))))*'F(T,E)'!I211</f>
        <v>53638.712826504954</v>
      </c>
      <c r="I231" s="17">
        <f>1/$I$29-LN($I$29)+($N$16*EXP($N$16/($D$14*$N$15))/(($D$14*$N$15^2)*(1-1.05*($N$17^1.26))))*'F(T,E)'!J211</f>
        <v>86432.535126554329</v>
      </c>
      <c r="J231" s="17">
        <f>1/$J$29-LN($J$29)+($O$16*EXP($O$16/($D$14*$O$15))/(($D$14*$O$15^2)*(1-1.05*($O$17^1.26))))*'F(T,E)'!K211</f>
        <v>430.95918290823732</v>
      </c>
      <c r="K231" s="17">
        <f>1/$K$29-LN($K$29)+($P$16*EXP($P$16/($D$14*$P$15))/(($D$14*$P$15^2)*(1-1.05*($P$17^1.26))))*'F(T,E)'!L211</f>
        <v>272.81674266547606</v>
      </c>
      <c r="L231" s="17">
        <f>1/$L$29-LN($L$29)+($Q$16*EXP($Q$16/($D$14*$Q$15))/(($D$14*$Q$15^2)*(1-1.05*($Q$17^1.26))))*'F(T,E)'!M211</f>
        <v>3.9094117295122239</v>
      </c>
      <c r="M231" s="17">
        <f>1/$M$29-LN($M$29)+($R$16*EXP($R$16/($D$14*$R$15))/(($D$14*$R$15^2)*(1-1.05*($R$17^1.26))))*'F(T,E)'!N211</f>
        <v>3471.8664289283938</v>
      </c>
      <c r="N231" s="17">
        <f>1/$N$29-LN($N$29)+($S$16*EXP($S$16/($D$14*$S$15))/(($D$14*$S$15^2)*(1-1.05*($S$17^1.26))))*'F(T,E)'!O211</f>
        <v>-11.116918261634327</v>
      </c>
      <c r="O231" s="25"/>
      <c r="P231" s="20">
        <f t="shared" si="80"/>
        <v>10914783.840858119</v>
      </c>
      <c r="Q231" s="20">
        <f t="shared" si="81"/>
        <v>1876884.6283217841</v>
      </c>
      <c r="R231" s="20">
        <f t="shared" si="82"/>
        <v>132461.14023317961</v>
      </c>
      <c r="S231" s="20">
        <f t="shared" si="83"/>
        <v>53627.822901677115</v>
      </c>
      <c r="T231" s="20">
        <f t="shared" si="84"/>
        <v>86421.168072863627</v>
      </c>
      <c r="U231" s="20">
        <f t="shared" si="85"/>
        <v>424.90731185285591</v>
      </c>
      <c r="V231" s="20">
        <f t="shared" si="86"/>
        <v>267.22863805122137</v>
      </c>
      <c r="W231" s="20">
        <f t="shared" si="87"/>
        <v>2.8589554119677589</v>
      </c>
      <c r="X231" s="20">
        <f t="shared" si="88"/>
        <v>3463.7151553970448</v>
      </c>
      <c r="Y231" s="20">
        <f t="shared" si="89"/>
        <v>1.4858579429034518E-5</v>
      </c>
      <c r="Z231" s="25"/>
      <c r="AA231" s="20">
        <f t="shared" si="91"/>
        <v>4.1566075586243802E-5</v>
      </c>
      <c r="AB231" s="20">
        <f t="shared" si="92"/>
        <v>3.3320296204740555E-4</v>
      </c>
      <c r="AC231" s="20">
        <f t="shared" si="93"/>
        <v>3.115979368855026E-2</v>
      </c>
      <c r="AD231" s="20">
        <f t="shared" si="94"/>
        <v>2.0835360451609163E-5</v>
      </c>
      <c r="AE231" s="20">
        <f t="shared" si="95"/>
        <v>7.0868982732114755E-2</v>
      </c>
      <c r="AF231" s="20">
        <f t="shared" si="96"/>
        <v>2.1735481302323678</v>
      </c>
      <c r="AG231" s="20">
        <f t="shared" si="97"/>
        <v>35.076076190829177</v>
      </c>
      <c r="AH231" s="20">
        <f t="shared" si="98"/>
        <v>763.44973763859934</v>
      </c>
      <c r="AI231" s="20">
        <f t="shared" si="99"/>
        <v>0</v>
      </c>
      <c r="AJ231" s="20">
        <v>50</v>
      </c>
      <c r="AK231" s="25"/>
      <c r="AL231" s="20">
        <f t="shared" si="100"/>
        <v>850.80178634047968</v>
      </c>
      <c r="AM231" s="25"/>
      <c r="AN231" s="20">
        <f t="shared" si="101"/>
        <v>2381.6143500218291</v>
      </c>
      <c r="AO231" s="20">
        <f t="shared" si="102"/>
        <v>48.80178634047968</v>
      </c>
      <c r="AQ231" s="20">
        <f t="shared" si="103"/>
        <v>6.3659229631696106E-6</v>
      </c>
      <c r="AR231" s="20">
        <v>617</v>
      </c>
      <c r="AS231" s="20">
        <f t="shared" si="104"/>
        <v>-0.60850107656458452</v>
      </c>
    </row>
    <row r="232" spans="2:45" x14ac:dyDescent="0.3">
      <c r="B232" s="32">
        <v>346</v>
      </c>
      <c r="C232" s="32">
        <v>683</v>
      </c>
      <c r="D232" s="7">
        <f t="shared" si="90"/>
        <v>619</v>
      </c>
      <c r="E232" s="17">
        <f>1/$E$29-LN($E$29)+($J$16*EXP($J$16/($D$14*$J$15))/(($D$14*$J$15^2)*(1-1.05*($J$17^1.26))))*'F(T,E)'!F212</f>
        <v>11649511.138779024</v>
      </c>
      <c r="F232" s="17">
        <f>1/$F$29-LN($F$29)+($K$16*EXP($K$16/($D$14*$K$15))/(($D$14*$K$15^2)*(1-1.05*($K$17^1.26))))*'F(T,E)'!G212</f>
        <v>2038477.0896612485</v>
      </c>
      <c r="G232" s="17">
        <f>1/$G$29-LN($G$29)+($L$16*EXP($L$16/($D$14*$L$15))/(($D$14*$L$15^2)*(1-1.05*($L$17^1.26))))*'F(T,E)'!H212</f>
        <v>144797.28700539266</v>
      </c>
      <c r="H232" s="17">
        <f>1/$H$29-LN($H$29)+($M$16*EXP($M$16/($D$14*$M$15))/(($D$14*$M$15^2)*(1-1.05*($M$17^1.26))))*'F(T,E)'!I212</f>
        <v>59632.766307682869</v>
      </c>
      <c r="I232" s="17">
        <f>1/$I$29-LN($I$29)+($N$16*EXP($N$16/($D$14*$N$15))/(($D$14*$N$15^2)*(1-1.05*($N$17^1.26))))*'F(T,E)'!J212</f>
        <v>99422.135627713782</v>
      </c>
      <c r="J232" s="17">
        <f>1/$J$29-LN($J$29)+($O$16*EXP($O$16/($D$14*$O$15))/(($D$14*$O$15^2)*(1-1.05*($O$17^1.26))))*'F(T,E)'!K212</f>
        <v>482.0781344537649</v>
      </c>
      <c r="K232" s="17">
        <f>1/$K$29-LN($K$29)+($P$16*EXP($P$16/($D$14*$P$15))/(($D$14*$P$15^2)*(1-1.05*($P$17^1.26))))*'F(T,E)'!L212</f>
        <v>315.27779719366822</v>
      </c>
      <c r="L232" s="17">
        <f>1/$L$29-LN($L$29)+($Q$16*EXP($Q$16/($D$14*$Q$15))/(($D$14*$Q$15^2)*(1-1.05*($Q$17^1.26))))*'F(T,E)'!M212</f>
        <v>4.7387548686661454</v>
      </c>
      <c r="M232" s="17">
        <f>1/$M$29-LN($M$29)+($R$16*EXP($R$16/($D$14*$R$15))/(($D$14*$R$15^2)*(1-1.05*($R$17^1.26))))*'F(T,E)'!N212</f>
        <v>3552.6364524392056</v>
      </c>
      <c r="N232" s="17">
        <f>1/$N$29-LN($N$29)+($S$16*EXP($S$16/($D$14*$S$15))/(($D$14*$S$15^2)*(1-1.05*($S$17^1.26))))*'F(T,E)'!O212</f>
        <v>-11.072311350123313</v>
      </c>
      <c r="O232" s="25"/>
      <c r="P232" s="20">
        <f t="shared" si="80"/>
        <v>11649494.868004948</v>
      </c>
      <c r="Q232" s="20">
        <f t="shared" si="81"/>
        <v>2038462.5619512496</v>
      </c>
      <c r="R232" s="20">
        <f t="shared" si="82"/>
        <v>144785.40395640358</v>
      </c>
      <c r="S232" s="20">
        <f t="shared" si="83"/>
        <v>59621.770439407926</v>
      </c>
      <c r="T232" s="20">
        <f t="shared" si="84"/>
        <v>99410.628555523552</v>
      </c>
      <c r="U232" s="20">
        <f t="shared" si="85"/>
        <v>475.91289960031008</v>
      </c>
      <c r="V232" s="20">
        <f t="shared" si="86"/>
        <v>309.54270114290875</v>
      </c>
      <c r="W232" s="20">
        <f t="shared" si="87"/>
        <v>3.4891085848816799</v>
      </c>
      <c r="X232" s="20">
        <f t="shared" si="88"/>
        <v>3544.4621577863595</v>
      </c>
      <c r="Y232" s="20">
        <f t="shared" si="89"/>
        <v>1.5536369138546792E-5</v>
      </c>
      <c r="Z232" s="25"/>
      <c r="AA232" s="20">
        <f t="shared" si="91"/>
        <v>3.8708737571032004E-5</v>
      </c>
      <c r="AB232" s="20">
        <f t="shared" si="92"/>
        <v>3.049035494940202E-4</v>
      </c>
      <c r="AC232" s="20">
        <f t="shared" si="93"/>
        <v>2.8331069393998733E-2</v>
      </c>
      <c r="AD232" s="20">
        <f t="shared" si="94"/>
        <v>1.8623286121107314E-5</v>
      </c>
      <c r="AE232" s="20">
        <f t="shared" si="95"/>
        <v>6.1220268496281878E-2</v>
      </c>
      <c r="AF232" s="20">
        <f t="shared" si="96"/>
        <v>1.925742549122875</v>
      </c>
      <c r="AG232" s="20">
        <f t="shared" si="97"/>
        <v>30.040175681403298</v>
      </c>
      <c r="AH232" s="20">
        <f t="shared" si="98"/>
        <v>621.39459798445512</v>
      </c>
      <c r="AI232" s="20">
        <f t="shared" si="99"/>
        <v>0</v>
      </c>
      <c r="AJ232" s="20">
        <v>50</v>
      </c>
      <c r="AK232" s="25"/>
      <c r="AL232" s="20">
        <f t="shared" si="100"/>
        <v>703.45042978844481</v>
      </c>
      <c r="AM232" s="25"/>
      <c r="AN232" s="20">
        <f t="shared" si="101"/>
        <v>418.22007853211073</v>
      </c>
      <c r="AO232" s="20">
        <f t="shared" si="102"/>
        <v>20.450429788444808</v>
      </c>
      <c r="AQ232" s="20">
        <f t="shared" si="103"/>
        <v>2.6676453949588974E-6</v>
      </c>
      <c r="AR232" s="20">
        <v>619</v>
      </c>
      <c r="AS232" s="20">
        <f t="shared" si="104"/>
        <v>-0.29942064111925049</v>
      </c>
    </row>
    <row r="233" spans="2:45" x14ac:dyDescent="0.3">
      <c r="B233" s="32">
        <v>347</v>
      </c>
      <c r="C233" s="32">
        <v>661</v>
      </c>
      <c r="D233" s="7">
        <f t="shared" si="90"/>
        <v>620</v>
      </c>
      <c r="E233" s="17">
        <f>1/$E$29-LN($E$29)+($J$16*EXP($J$16/($D$14*$J$15))/(($D$14*$J$15^2)*(1-1.05*($J$17^1.26))))*'F(T,E)'!F213</f>
        <v>12033394.74138638</v>
      </c>
      <c r="F233" s="17">
        <f>1/$F$29-LN($F$29)+($K$16*EXP($K$16/($D$14*$K$15))/(($D$14*$K$15^2)*(1-1.05*($K$17^1.26))))*'F(T,E)'!G213</f>
        <v>2124000.3651099675</v>
      </c>
      <c r="G233" s="17">
        <f>1/$G$29-LN($G$29)+($L$16*EXP($L$16/($D$14*$L$15))/(($D$14*$L$15^2)*(1-1.05*($L$17^1.26))))*'F(T,E)'!H213</f>
        <v>151351.4758322433</v>
      </c>
      <c r="H233" s="17">
        <f>1/$H$29-LN($H$29)+($M$16*EXP($M$16/($D$14*$M$15))/(($D$14*$M$15^2)*(1-1.05*($M$17^1.26))))*'F(T,E)'!I213</f>
        <v>62860.777791069908</v>
      </c>
      <c r="I233" s="17">
        <f>1/$I$29-LN($I$29)+($N$16*EXP($N$16/($D$14*$N$15))/(($D$14*$N$15^2)*(1-1.05*($N$17^1.26))))*'F(T,E)'!J213</f>
        <v>106596.26405204146</v>
      </c>
      <c r="J233" s="17">
        <f>1/$J$29-LN($J$29)+($O$16*EXP($O$16/($D$14*$O$15))/(($D$14*$O$15^2)*(1-1.05*($O$17^1.26))))*'F(T,E)'!K213</f>
        <v>509.72554374357622</v>
      </c>
      <c r="K233" s="17">
        <f>1/$K$29-LN($K$29)+($P$16*EXP($P$16/($D$14*$P$15))/(($D$14*$P$15^2)*(1-1.05*($P$17^1.26))))*'F(T,E)'!L213</f>
        <v>338.81227770142368</v>
      </c>
      <c r="L233" s="17">
        <f>1/$L$29-LN($L$29)+($Q$16*EXP($Q$16/($D$14*$Q$15))/(($D$14*$Q$15^2)*(1-1.05*($Q$17^1.26))))*'F(T,E)'!M213</f>
        <v>5.200497995617102</v>
      </c>
      <c r="M233" s="17">
        <f>1/$M$29-LN($M$29)+($R$16*EXP($R$16/($D$14*$R$15))/(($D$14*$R$15^2)*(1-1.05*($R$17^1.26))))*'F(T,E)'!N213</f>
        <v>3593.5295183716285</v>
      </c>
      <c r="N233" s="17">
        <f>1/$N$29-LN($N$29)+($S$16*EXP($S$16/($D$14*$S$15))/(($D$14*$S$15^2)*(1-1.05*($S$17^1.26))))*'F(T,E)'!O213</f>
        <v>-11.048274166701644</v>
      </c>
      <c r="O233" s="25"/>
      <c r="P233" s="20">
        <f t="shared" si="80"/>
        <v>12033378.43819082</v>
      </c>
      <c r="Q233" s="20">
        <f t="shared" si="81"/>
        <v>2123985.7963015637</v>
      </c>
      <c r="R233" s="20">
        <f t="shared" si="82"/>
        <v>151339.54851158062</v>
      </c>
      <c r="S233" s="20">
        <f t="shared" si="83"/>
        <v>62849.729201268376</v>
      </c>
      <c r="T233" s="20">
        <f t="shared" si="84"/>
        <v>106584.68730259988</v>
      </c>
      <c r="U233" s="20">
        <f t="shared" si="85"/>
        <v>503.50395218203028</v>
      </c>
      <c r="V233" s="20">
        <f t="shared" si="86"/>
        <v>333.00412283064708</v>
      </c>
      <c r="W233" s="20">
        <f t="shared" si="87"/>
        <v>3.8519249779898286</v>
      </c>
      <c r="X233" s="20">
        <f t="shared" si="88"/>
        <v>3585.3437673358471</v>
      </c>
      <c r="Y233" s="20">
        <f t="shared" si="89"/>
        <v>1.591433820742971E-5</v>
      </c>
      <c r="Z233" s="25"/>
      <c r="AA233" s="20">
        <f t="shared" si="91"/>
        <v>3.7360521338863344E-5</v>
      </c>
      <c r="AB233" s="20">
        <f t="shared" si="92"/>
        <v>2.9172687140724385E-4</v>
      </c>
      <c r="AC233" s="20">
        <f t="shared" si="93"/>
        <v>2.7020363759392201E-2</v>
      </c>
      <c r="AD233" s="20">
        <f t="shared" si="94"/>
        <v>1.7611519518113948E-5</v>
      </c>
      <c r="AE233" s="20">
        <f t="shared" si="95"/>
        <v>5.691974306121262E-2</v>
      </c>
      <c r="AF233" s="20">
        <f t="shared" si="96"/>
        <v>1.8133416947262626</v>
      </c>
      <c r="AG233" s="20">
        <f t="shared" si="97"/>
        <v>27.814420706751534</v>
      </c>
      <c r="AH233" s="20">
        <f t="shared" si="98"/>
        <v>559.61650198910024</v>
      </c>
      <c r="AI233" s="20">
        <f t="shared" si="99"/>
        <v>0</v>
      </c>
      <c r="AJ233" s="20">
        <v>50</v>
      </c>
      <c r="AK233" s="25"/>
      <c r="AL233" s="20">
        <f t="shared" si="100"/>
        <v>639.32855119631085</v>
      </c>
      <c r="AM233" s="25"/>
      <c r="AN233" s="20">
        <f t="shared" si="101"/>
        <v>469.65169325091966</v>
      </c>
      <c r="AO233" s="20">
        <f t="shared" si="102"/>
        <v>21.671448803689145</v>
      </c>
      <c r="AQ233" s="20">
        <f t="shared" si="103"/>
        <v>2.8269205684818648E-6</v>
      </c>
      <c r="AR233" s="20">
        <v>620</v>
      </c>
      <c r="AS233" s="20">
        <f t="shared" si="104"/>
        <v>0.32785852955656802</v>
      </c>
    </row>
    <row r="234" spans="2:45" x14ac:dyDescent="0.3">
      <c r="B234" s="32">
        <v>349</v>
      </c>
      <c r="C234" s="32">
        <v>560</v>
      </c>
      <c r="D234" s="7">
        <f t="shared" si="90"/>
        <v>622</v>
      </c>
      <c r="E234" s="17">
        <f>1/$E$29-LN($E$29)+($J$16*EXP($J$16/($D$14*$J$15))/(($D$14*$J$15^2)*(1-1.05*($J$17^1.26))))*'F(T,E)'!F214</f>
        <v>12835687.373940308</v>
      </c>
      <c r="F234" s="17">
        <f>1/$F$29-LN($F$29)+($K$16*EXP($K$16/($D$14*$K$15))/(($D$14*$K$15^2)*(1-1.05*($K$17^1.26))))*'F(T,E)'!G214</f>
        <v>2305080.0335207428</v>
      </c>
      <c r="G234" s="17">
        <f>1/$G$29-LN($G$29)+($L$16*EXP($L$16/($D$14*$L$15))/(($D$14*$L$15^2)*(1-1.05*($L$17^1.26))))*'F(T,E)'!H214</f>
        <v>165295.02106651376</v>
      </c>
      <c r="H234" s="17">
        <f>1/$H$29-LN($H$29)+($M$16*EXP($M$16/($D$14*$M$15))/(($D$14*$M$15^2)*(1-1.05*($M$17^1.26))))*'F(T,E)'!I214</f>
        <v>69815.862658084778</v>
      </c>
      <c r="I234" s="17">
        <f>1/$I$29-LN($I$29)+($N$16*EXP($N$16/($D$14*$N$15))/(($D$14*$N$15^2)*(1-1.05*($N$17^1.26))))*'F(T,E)'!J214</f>
        <v>122454.30563379296</v>
      </c>
      <c r="J234" s="17">
        <f>1/$J$29-LN($J$29)+($O$16*EXP($O$16/($D$14*$O$15))/(($D$14*$O$15^2)*(1-1.05*($O$17^1.26))))*'F(T,E)'!K214</f>
        <v>569.55314327864176</v>
      </c>
      <c r="K234" s="17">
        <f>1/$K$29-LN($K$29)+($P$16*EXP($P$16/($D$14*$P$15))/(($D$14*$P$15^2)*(1-1.05*($P$17^1.26))))*'F(T,E)'!L214</f>
        <v>391.02209973364614</v>
      </c>
      <c r="L234" s="17">
        <f>1/$L$29-LN($L$29)+($Q$16*EXP($Q$16/($D$14*$Q$15))/(($D$14*$Q$15^2)*(1-1.05*($Q$17^1.26))))*'F(T,E)'!M214</f>
        <v>6.229546890463018</v>
      </c>
      <c r="M234" s="17">
        <f>1/$M$29-LN($M$29)+($R$16*EXP($R$16/($D$14*$R$15))/(($D$14*$R$15^2)*(1-1.05*($R$17^1.26))))*'F(T,E)'!N214</f>
        <v>3676.3395377508205</v>
      </c>
      <c r="N234" s="17">
        <f>1/$N$29-LN($N$29)+($S$16*EXP($S$16/($D$14*$S$15))/(($D$14*$S$15^2)*(1-1.05*($S$17^1.26))))*'F(T,E)'!O214</f>
        <v>-10.996451361628855</v>
      </c>
      <c r="O234" s="25"/>
      <c r="P234" s="20">
        <f t="shared" si="80"/>
        <v>12835671.00620102</v>
      </c>
      <c r="Q234" s="20">
        <f t="shared" si="81"/>
        <v>2305065.3828979651</v>
      </c>
      <c r="R234" s="20">
        <f t="shared" si="82"/>
        <v>165283.00561569657</v>
      </c>
      <c r="S234" s="20">
        <f t="shared" si="83"/>
        <v>69804.709121441949</v>
      </c>
      <c r="T234" s="20">
        <f t="shared" si="84"/>
        <v>122442.590188405</v>
      </c>
      <c r="U234" s="20">
        <f t="shared" si="85"/>
        <v>563.21947389716354</v>
      </c>
      <c r="V234" s="20">
        <f t="shared" si="86"/>
        <v>385.06867803077148</v>
      </c>
      <c r="W234" s="20">
        <f t="shared" si="87"/>
        <v>4.6851491414570985</v>
      </c>
      <c r="X234" s="20">
        <f t="shared" si="88"/>
        <v>3668.1309814608267</v>
      </c>
      <c r="Y234" s="20">
        <f t="shared" si="89"/>
        <v>1.6760793445360387E-5</v>
      </c>
      <c r="Z234" s="25"/>
      <c r="AA234" s="20">
        <f t="shared" si="91"/>
        <v>3.4814290821563231E-5</v>
      </c>
      <c r="AB234" s="20">
        <f t="shared" si="92"/>
        <v>2.671635824641127E-4</v>
      </c>
      <c r="AC234" s="20">
        <f t="shared" si="93"/>
        <v>2.4588621624856574E-2</v>
      </c>
      <c r="AD234" s="20">
        <f t="shared" si="94"/>
        <v>1.5758017874345976E-5</v>
      </c>
      <c r="AE234" s="20">
        <f t="shared" si="95"/>
        <v>4.923706698026481E-2</v>
      </c>
      <c r="AF234" s="20">
        <f t="shared" si="96"/>
        <v>1.609037880821315</v>
      </c>
      <c r="AG234" s="20">
        <f t="shared" si="97"/>
        <v>23.868998587344628</v>
      </c>
      <c r="AH234" s="20">
        <f t="shared" si="98"/>
        <v>453.10249515614453</v>
      </c>
      <c r="AI234" s="20">
        <f t="shared" si="99"/>
        <v>0</v>
      </c>
      <c r="AJ234" s="20">
        <v>50</v>
      </c>
      <c r="AK234" s="25"/>
      <c r="AL234" s="20">
        <f t="shared" si="100"/>
        <v>528.65467504880678</v>
      </c>
      <c r="AM234" s="25"/>
      <c r="AN234" s="20">
        <f t="shared" si="101"/>
        <v>982.52939629589628</v>
      </c>
      <c r="AO234" s="20">
        <f t="shared" si="102"/>
        <v>31.34532495119322</v>
      </c>
      <c r="AQ234" s="20">
        <f t="shared" si="103"/>
        <v>4.0888241775137641E-6</v>
      </c>
      <c r="AR234" s="20">
        <v>622</v>
      </c>
      <c r="AS234" s="20">
        <f t="shared" si="104"/>
        <v>0.55973794555702183</v>
      </c>
    </row>
    <row r="235" spans="2:45" x14ac:dyDescent="0.3">
      <c r="B235" s="9"/>
      <c r="C235" s="9"/>
      <c r="D235" s="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25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5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5"/>
      <c r="AL235" s="20"/>
      <c r="AM235" s="25"/>
      <c r="AN235" s="20"/>
      <c r="AO235" s="20"/>
      <c r="AQ235" s="20"/>
    </row>
    <row r="236" spans="2:45" x14ac:dyDescent="0.3">
      <c r="B236" s="9"/>
      <c r="C236" s="9"/>
      <c r="D236" s="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25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5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5"/>
      <c r="AL236" s="20"/>
      <c r="AM236" s="25"/>
      <c r="AN236" s="20"/>
      <c r="AO236" s="20"/>
      <c r="AQ236" s="20"/>
    </row>
    <row r="237" spans="2:45" x14ac:dyDescent="0.3">
      <c r="B237" s="9"/>
      <c r="C237" s="9"/>
      <c r="D237" s="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25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5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5"/>
      <c r="AL237" s="20"/>
      <c r="AM237" s="25"/>
      <c r="AN237" s="20"/>
      <c r="AO237" s="20"/>
      <c r="AQ237" s="20"/>
    </row>
    <row r="238" spans="2:45" x14ac:dyDescent="0.3">
      <c r="B238" s="9"/>
      <c r="C238" s="9"/>
      <c r="D238" s="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25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5"/>
      <c r="AA238" s="20"/>
      <c r="AB238" s="20"/>
      <c r="AC238" s="20"/>
      <c r="AD238" s="20"/>
      <c r="AE238" s="20"/>
      <c r="AF238" s="20"/>
      <c r="AG238" s="20"/>
      <c r="AH238" s="20"/>
      <c r="AI238" s="20"/>
      <c r="AJ238" s="20"/>
      <c r="AK238" s="25"/>
      <c r="AL238" s="20"/>
      <c r="AM238" s="25"/>
      <c r="AN238" s="20"/>
      <c r="AO238" s="20"/>
      <c r="AQ238" s="20"/>
    </row>
    <row r="239" spans="2:45" x14ac:dyDescent="0.3">
      <c r="B239" s="9"/>
      <c r="C239" s="9"/>
      <c r="D239" s="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25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5"/>
      <c r="AA239" s="20"/>
      <c r="AB239" s="20"/>
      <c r="AC239" s="20"/>
      <c r="AD239" s="20"/>
      <c r="AE239" s="20"/>
      <c r="AF239" s="20"/>
      <c r="AG239" s="20"/>
      <c r="AH239" s="20"/>
      <c r="AI239" s="20"/>
      <c r="AJ239" s="20"/>
      <c r="AK239" s="25"/>
      <c r="AL239" s="20"/>
      <c r="AM239" s="25"/>
      <c r="AN239" s="20"/>
      <c r="AO239" s="20"/>
      <c r="AQ239" s="20"/>
    </row>
    <row r="240" spans="2:45" x14ac:dyDescent="0.3">
      <c r="B240" s="9"/>
      <c r="C240" s="9"/>
      <c r="D240" s="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25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5"/>
      <c r="AA240" s="20"/>
      <c r="AB240" s="20"/>
      <c r="AC240" s="20"/>
      <c r="AD240" s="20"/>
      <c r="AE240" s="20"/>
      <c r="AF240" s="20"/>
      <c r="AG240" s="20"/>
      <c r="AH240" s="20"/>
      <c r="AI240" s="20"/>
      <c r="AJ240" s="20"/>
      <c r="AK240" s="25"/>
      <c r="AL240" s="20"/>
      <c r="AM240" s="25"/>
      <c r="AN240" s="20"/>
      <c r="AO240" s="20"/>
      <c r="AQ240" s="20"/>
    </row>
    <row r="241" spans="2:43" x14ac:dyDescent="0.3">
      <c r="B241" s="9"/>
      <c r="C241" s="9"/>
      <c r="D241" s="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25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5"/>
      <c r="AA241" s="20"/>
      <c r="AB241" s="20"/>
      <c r="AC241" s="20"/>
      <c r="AD241" s="20"/>
      <c r="AE241" s="20"/>
      <c r="AF241" s="20"/>
      <c r="AG241" s="20"/>
      <c r="AH241" s="20"/>
      <c r="AI241" s="20"/>
      <c r="AJ241" s="20"/>
      <c r="AK241" s="25"/>
      <c r="AL241" s="20"/>
      <c r="AM241" s="25"/>
      <c r="AN241" s="20"/>
      <c r="AO241" s="20"/>
      <c r="AQ241" s="20"/>
    </row>
    <row r="242" spans="2:43" x14ac:dyDescent="0.3">
      <c r="B242" s="9"/>
      <c r="C242" s="9"/>
      <c r="D242" s="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25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5"/>
      <c r="AA242" s="20"/>
      <c r="AB242" s="20"/>
      <c r="AC242" s="20"/>
      <c r="AD242" s="20"/>
      <c r="AE242" s="20"/>
      <c r="AF242" s="20"/>
      <c r="AG242" s="20"/>
      <c r="AH242" s="20"/>
      <c r="AI242" s="20"/>
      <c r="AJ242" s="20"/>
      <c r="AK242" s="25"/>
      <c r="AL242" s="20"/>
      <c r="AM242" s="25"/>
      <c r="AN242" s="20"/>
      <c r="AO242" s="20"/>
      <c r="AQ242" s="20"/>
    </row>
    <row r="243" spans="2:43" x14ac:dyDescent="0.3">
      <c r="B243" s="9"/>
      <c r="C243" s="9"/>
      <c r="D243" s="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25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5"/>
      <c r="AA243" s="20"/>
      <c r="AB243" s="20"/>
      <c r="AC243" s="20"/>
      <c r="AD243" s="20"/>
      <c r="AE243" s="20"/>
      <c r="AF243" s="20"/>
      <c r="AG243" s="20"/>
      <c r="AH243" s="20"/>
      <c r="AI243" s="20"/>
      <c r="AJ243" s="20"/>
      <c r="AK243" s="25"/>
      <c r="AL243" s="20"/>
      <c r="AM243" s="25"/>
      <c r="AN243" s="20"/>
      <c r="AO243" s="20"/>
      <c r="AQ243" s="20"/>
    </row>
    <row r="244" spans="2:43" x14ac:dyDescent="0.3">
      <c r="B244" s="9"/>
      <c r="C244" s="9"/>
      <c r="D244" s="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25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5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5"/>
      <c r="AL244" s="20"/>
      <c r="AM244" s="25"/>
      <c r="AN244" s="20"/>
      <c r="AO244" s="20"/>
      <c r="AQ244" s="20"/>
    </row>
    <row r="245" spans="2:43" x14ac:dyDescent="0.3">
      <c r="B245" s="9"/>
      <c r="C245" s="9"/>
      <c r="D245" s="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25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5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25"/>
      <c r="AL245" s="20"/>
      <c r="AM245" s="25"/>
      <c r="AN245" s="20"/>
      <c r="AO245" s="20"/>
      <c r="AQ245" s="20"/>
    </row>
    <row r="246" spans="2:43" x14ac:dyDescent="0.3">
      <c r="B246" s="9"/>
      <c r="C246" s="9"/>
      <c r="D246" s="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25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5"/>
      <c r="AA246" s="20"/>
      <c r="AB246" s="20"/>
      <c r="AC246" s="20"/>
      <c r="AD246" s="20"/>
      <c r="AE246" s="20"/>
      <c r="AF246" s="20"/>
      <c r="AG246" s="20"/>
      <c r="AH246" s="20"/>
      <c r="AI246" s="20"/>
      <c r="AJ246" s="20"/>
      <c r="AK246" s="25"/>
      <c r="AL246" s="20"/>
      <c r="AM246" s="25"/>
      <c r="AN246" s="20"/>
      <c r="AO246" s="20"/>
      <c r="AQ246" s="20"/>
    </row>
    <row r="247" spans="2:43" x14ac:dyDescent="0.3">
      <c r="B247" s="9"/>
      <c r="C247" s="9"/>
      <c r="D247" s="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25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5"/>
      <c r="AA247" s="20"/>
      <c r="AB247" s="20"/>
      <c r="AC247" s="20"/>
      <c r="AD247" s="20"/>
      <c r="AE247" s="20"/>
      <c r="AF247" s="20"/>
      <c r="AG247" s="20"/>
      <c r="AH247" s="20"/>
      <c r="AI247" s="20"/>
      <c r="AJ247" s="20"/>
      <c r="AK247" s="25"/>
      <c r="AL247" s="20"/>
      <c r="AM247" s="25"/>
      <c r="AN247" s="20"/>
      <c r="AO247" s="20"/>
      <c r="AQ247" s="20"/>
    </row>
    <row r="248" spans="2:43" x14ac:dyDescent="0.3">
      <c r="B248" s="9"/>
      <c r="C248" s="9"/>
      <c r="D248" s="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25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5"/>
      <c r="AA248" s="20"/>
      <c r="AB248" s="20"/>
      <c r="AC248" s="20"/>
      <c r="AD248" s="20"/>
      <c r="AE248" s="20"/>
      <c r="AF248" s="20"/>
      <c r="AG248" s="20"/>
      <c r="AH248" s="20"/>
      <c r="AI248" s="20"/>
      <c r="AJ248" s="20"/>
      <c r="AK248" s="25"/>
      <c r="AL248" s="20"/>
      <c r="AM248" s="25"/>
      <c r="AN248" s="20"/>
      <c r="AO248" s="20"/>
      <c r="AQ248" s="20"/>
    </row>
    <row r="249" spans="2:43" x14ac:dyDescent="0.3">
      <c r="B249" s="9"/>
      <c r="C249" s="9"/>
      <c r="D249" s="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25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5"/>
      <c r="AA249" s="20"/>
      <c r="AB249" s="20"/>
      <c r="AC249" s="20"/>
      <c r="AD249" s="20"/>
      <c r="AE249" s="20"/>
      <c r="AF249" s="20"/>
      <c r="AG249" s="20"/>
      <c r="AH249" s="20"/>
      <c r="AI249" s="20"/>
      <c r="AJ249" s="20"/>
      <c r="AK249" s="25"/>
      <c r="AL249" s="20"/>
      <c r="AM249" s="25"/>
      <c r="AN249" s="20"/>
      <c r="AO249" s="20"/>
      <c r="AQ249" s="20"/>
    </row>
    <row r="250" spans="2:43" x14ac:dyDescent="0.3">
      <c r="B250" s="9"/>
      <c r="C250" s="9"/>
      <c r="D250" s="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25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5"/>
      <c r="AA250" s="20"/>
      <c r="AB250" s="20"/>
      <c r="AC250" s="20"/>
      <c r="AD250" s="20"/>
      <c r="AE250" s="20"/>
      <c r="AF250" s="20"/>
      <c r="AG250" s="20"/>
      <c r="AH250" s="20"/>
      <c r="AI250" s="20"/>
      <c r="AJ250" s="20"/>
      <c r="AK250" s="25"/>
      <c r="AL250" s="20"/>
      <c r="AM250" s="25"/>
      <c r="AN250" s="20"/>
      <c r="AO250" s="20"/>
      <c r="AQ250" s="20"/>
    </row>
    <row r="251" spans="2:43" x14ac:dyDescent="0.3">
      <c r="B251" s="9"/>
      <c r="C251" s="9"/>
      <c r="D251" s="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25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5"/>
      <c r="AA251" s="20"/>
      <c r="AB251" s="20"/>
      <c r="AC251" s="20"/>
      <c r="AD251" s="20"/>
      <c r="AE251" s="20"/>
      <c r="AF251" s="20"/>
      <c r="AG251" s="20"/>
      <c r="AH251" s="20"/>
      <c r="AI251" s="20"/>
      <c r="AJ251" s="20"/>
      <c r="AK251" s="25"/>
      <c r="AL251" s="20"/>
      <c r="AM251" s="25"/>
      <c r="AN251" s="20"/>
      <c r="AO251" s="20"/>
      <c r="AQ251" s="20"/>
    </row>
    <row r="252" spans="2:43" x14ac:dyDescent="0.3">
      <c r="B252" s="9"/>
      <c r="C252" s="9"/>
      <c r="D252" s="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25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5"/>
      <c r="AA252" s="20"/>
      <c r="AB252" s="20"/>
      <c r="AC252" s="20"/>
      <c r="AD252" s="20"/>
      <c r="AE252" s="20"/>
      <c r="AF252" s="20"/>
      <c r="AG252" s="20"/>
      <c r="AH252" s="20"/>
      <c r="AI252" s="20"/>
      <c r="AJ252" s="20"/>
      <c r="AK252" s="25"/>
      <c r="AL252" s="20"/>
      <c r="AM252" s="25"/>
      <c r="AN252" s="20"/>
      <c r="AO252" s="20"/>
      <c r="AQ252" s="20"/>
    </row>
    <row r="253" spans="2:43" x14ac:dyDescent="0.3">
      <c r="B253" s="9"/>
      <c r="C253" s="9"/>
      <c r="D253" s="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25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5"/>
      <c r="AA253" s="20"/>
      <c r="AB253" s="20"/>
      <c r="AC253" s="20"/>
      <c r="AD253" s="20"/>
      <c r="AE253" s="20"/>
      <c r="AF253" s="20"/>
      <c r="AG253" s="20"/>
      <c r="AH253" s="20"/>
      <c r="AI253" s="20"/>
      <c r="AJ253" s="20"/>
      <c r="AK253" s="25"/>
      <c r="AL253" s="20"/>
      <c r="AM253" s="25"/>
      <c r="AN253" s="20"/>
      <c r="AO253" s="20"/>
      <c r="AQ253" s="20"/>
    </row>
    <row r="254" spans="2:43" x14ac:dyDescent="0.3">
      <c r="B254" s="9"/>
      <c r="C254" s="9"/>
      <c r="D254" s="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25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5"/>
      <c r="AA254" s="20"/>
      <c r="AB254" s="20"/>
      <c r="AC254" s="20"/>
      <c r="AD254" s="20"/>
      <c r="AE254" s="20"/>
      <c r="AF254" s="20"/>
      <c r="AG254" s="20"/>
      <c r="AH254" s="20"/>
      <c r="AI254" s="20"/>
      <c r="AJ254" s="20"/>
      <c r="AK254" s="25"/>
      <c r="AL254" s="20"/>
      <c r="AM254" s="25"/>
      <c r="AN254" s="20"/>
      <c r="AO254" s="20"/>
      <c r="AQ254" s="20"/>
    </row>
    <row r="255" spans="2:43" x14ac:dyDescent="0.3">
      <c r="B255" s="9"/>
      <c r="C255" s="9"/>
      <c r="D255" s="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25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5"/>
      <c r="AA255" s="20"/>
      <c r="AB255" s="20"/>
      <c r="AC255" s="20"/>
      <c r="AD255" s="20"/>
      <c r="AE255" s="20"/>
      <c r="AF255" s="20"/>
      <c r="AG255" s="20"/>
      <c r="AH255" s="20"/>
      <c r="AI255" s="20"/>
      <c r="AJ255" s="20"/>
      <c r="AK255" s="25"/>
      <c r="AL255" s="20"/>
      <c r="AM255" s="25"/>
      <c r="AN255" s="20"/>
      <c r="AO255" s="20"/>
      <c r="AQ255" s="20"/>
    </row>
    <row r="256" spans="2:43" x14ac:dyDescent="0.3">
      <c r="B256" s="9"/>
      <c r="C256" s="9"/>
      <c r="D256" s="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25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5"/>
      <c r="AA256" s="20"/>
      <c r="AB256" s="20"/>
      <c r="AC256" s="20"/>
      <c r="AD256" s="20"/>
      <c r="AE256" s="20"/>
      <c r="AF256" s="20"/>
      <c r="AG256" s="20"/>
      <c r="AH256" s="20"/>
      <c r="AI256" s="20"/>
      <c r="AJ256" s="20"/>
      <c r="AK256" s="25"/>
      <c r="AL256" s="20"/>
      <c r="AM256" s="25"/>
      <c r="AN256" s="20"/>
      <c r="AO256" s="20"/>
      <c r="AQ256" s="20"/>
    </row>
    <row r="257" spans="2:43" x14ac:dyDescent="0.3">
      <c r="B257" s="9"/>
      <c r="C257" s="9"/>
      <c r="D257" s="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25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5"/>
      <c r="AA257" s="20"/>
      <c r="AB257" s="20"/>
      <c r="AC257" s="20"/>
      <c r="AD257" s="20"/>
      <c r="AE257" s="20"/>
      <c r="AF257" s="20"/>
      <c r="AG257" s="20"/>
      <c r="AH257" s="20"/>
      <c r="AI257" s="20"/>
      <c r="AJ257" s="20"/>
      <c r="AK257" s="25"/>
      <c r="AL257" s="20"/>
      <c r="AM257" s="25"/>
      <c r="AN257" s="20"/>
      <c r="AO257" s="20"/>
      <c r="AQ257" s="20"/>
    </row>
    <row r="258" spans="2:43" x14ac:dyDescent="0.3">
      <c r="B258" s="9"/>
      <c r="C258" s="9"/>
      <c r="D258" s="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25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5"/>
      <c r="AA258" s="20"/>
      <c r="AB258" s="20"/>
      <c r="AC258" s="20"/>
      <c r="AD258" s="20"/>
      <c r="AE258" s="20"/>
      <c r="AF258" s="20"/>
      <c r="AG258" s="20"/>
      <c r="AH258" s="20"/>
      <c r="AI258" s="20"/>
      <c r="AJ258" s="20"/>
      <c r="AK258" s="25"/>
      <c r="AL258" s="20"/>
      <c r="AM258" s="25"/>
      <c r="AN258" s="20"/>
      <c r="AO258" s="20"/>
      <c r="AQ258" s="20"/>
    </row>
    <row r="259" spans="2:43" x14ac:dyDescent="0.3">
      <c r="B259" s="9"/>
      <c r="C259" s="9"/>
      <c r="D259" s="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25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5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5"/>
      <c r="AL259" s="20"/>
      <c r="AM259" s="25"/>
      <c r="AN259" s="20"/>
      <c r="AO259" s="20"/>
      <c r="AQ259" s="20"/>
    </row>
    <row r="260" spans="2:43" x14ac:dyDescent="0.3">
      <c r="B260" s="9"/>
      <c r="C260" s="9"/>
      <c r="D260" s="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25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5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5"/>
      <c r="AL260" s="20"/>
      <c r="AM260" s="25"/>
      <c r="AN260" s="20"/>
      <c r="AO260" s="20"/>
      <c r="AQ260" s="20"/>
    </row>
    <row r="261" spans="2:43" x14ac:dyDescent="0.3">
      <c r="B261" s="9"/>
      <c r="C261" s="9"/>
      <c r="D261" s="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25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5"/>
      <c r="AA261" s="20"/>
      <c r="AB261" s="20"/>
      <c r="AC261" s="20"/>
      <c r="AD261" s="20"/>
      <c r="AE261" s="20"/>
      <c r="AF261" s="20"/>
      <c r="AG261" s="20"/>
      <c r="AH261" s="20"/>
      <c r="AI261" s="20"/>
      <c r="AJ261" s="20"/>
      <c r="AK261" s="25"/>
      <c r="AL261" s="20"/>
      <c r="AM261" s="25"/>
      <c r="AN261" s="20"/>
      <c r="AO261" s="20"/>
      <c r="AQ261" s="20"/>
    </row>
    <row r="262" spans="2:43" x14ac:dyDescent="0.3">
      <c r="B262" s="9"/>
      <c r="C262" s="9"/>
      <c r="D262" s="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25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5"/>
      <c r="AA262" s="20"/>
      <c r="AB262" s="20"/>
      <c r="AC262" s="20"/>
      <c r="AD262" s="20"/>
      <c r="AE262" s="20"/>
      <c r="AF262" s="20"/>
      <c r="AG262" s="20"/>
      <c r="AH262" s="20"/>
      <c r="AI262" s="20"/>
      <c r="AJ262" s="20"/>
      <c r="AK262" s="25"/>
      <c r="AL262" s="20"/>
      <c r="AM262" s="25"/>
      <c r="AN262" s="20"/>
      <c r="AO262" s="20"/>
      <c r="AQ262" s="20"/>
    </row>
    <row r="263" spans="2:43" x14ac:dyDescent="0.3">
      <c r="B263" s="9"/>
      <c r="C263" s="9"/>
      <c r="D263" s="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25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5"/>
      <c r="AA263" s="20"/>
      <c r="AB263" s="20"/>
      <c r="AC263" s="20"/>
      <c r="AD263" s="20"/>
      <c r="AE263" s="20"/>
      <c r="AF263" s="20"/>
      <c r="AG263" s="20"/>
      <c r="AH263" s="20"/>
      <c r="AI263" s="20"/>
      <c r="AJ263" s="20"/>
      <c r="AK263" s="25"/>
      <c r="AL263" s="20"/>
      <c r="AM263" s="25"/>
      <c r="AN263" s="20"/>
      <c r="AO263" s="20"/>
      <c r="AQ263" s="20"/>
    </row>
    <row r="264" spans="2:43" x14ac:dyDescent="0.3">
      <c r="B264" s="9"/>
      <c r="C264" s="9"/>
      <c r="D264" s="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25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5"/>
      <c r="AA264" s="20"/>
      <c r="AB264" s="20"/>
      <c r="AC264" s="20"/>
      <c r="AD264" s="20"/>
      <c r="AE264" s="20"/>
      <c r="AF264" s="20"/>
      <c r="AG264" s="20"/>
      <c r="AH264" s="20"/>
      <c r="AI264" s="20"/>
      <c r="AJ264" s="20"/>
      <c r="AK264" s="25"/>
      <c r="AL264" s="20"/>
      <c r="AM264" s="25"/>
      <c r="AN264" s="20"/>
      <c r="AO264" s="20"/>
      <c r="AQ264" s="20"/>
    </row>
    <row r="265" spans="2:43" x14ac:dyDescent="0.3">
      <c r="B265" s="9"/>
      <c r="C265" s="9"/>
      <c r="D265" s="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25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5"/>
      <c r="AA265" s="20"/>
      <c r="AB265" s="20"/>
      <c r="AC265" s="20"/>
      <c r="AD265" s="20"/>
      <c r="AE265" s="20"/>
      <c r="AF265" s="20"/>
      <c r="AG265" s="20"/>
      <c r="AH265" s="20"/>
      <c r="AI265" s="20"/>
      <c r="AJ265" s="20"/>
      <c r="AK265" s="25"/>
      <c r="AL265" s="20"/>
      <c r="AM265" s="25"/>
      <c r="AN265" s="20"/>
      <c r="AO265" s="20"/>
      <c r="AQ265" s="20"/>
    </row>
    <row r="266" spans="2:43" x14ac:dyDescent="0.3">
      <c r="B266" s="9"/>
      <c r="C266" s="9"/>
      <c r="D266" s="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25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5"/>
      <c r="AA266" s="20"/>
      <c r="AB266" s="20"/>
      <c r="AC266" s="20"/>
      <c r="AD266" s="20"/>
      <c r="AE266" s="20"/>
      <c r="AF266" s="20"/>
      <c r="AG266" s="20"/>
      <c r="AH266" s="20"/>
      <c r="AI266" s="20"/>
      <c r="AJ266" s="20"/>
      <c r="AK266" s="25"/>
      <c r="AL266" s="20"/>
      <c r="AM266" s="25"/>
      <c r="AN266" s="20"/>
      <c r="AO266" s="20"/>
      <c r="AQ266" s="20"/>
    </row>
    <row r="267" spans="2:43" x14ac:dyDescent="0.3">
      <c r="B267" s="9"/>
      <c r="C267" s="9"/>
      <c r="D267" s="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25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5"/>
      <c r="AA267" s="20"/>
      <c r="AB267" s="20"/>
      <c r="AC267" s="20"/>
      <c r="AD267" s="20"/>
      <c r="AE267" s="20"/>
      <c r="AF267" s="20"/>
      <c r="AG267" s="20"/>
      <c r="AH267" s="20"/>
      <c r="AI267" s="20"/>
      <c r="AJ267" s="20"/>
      <c r="AK267" s="25"/>
      <c r="AL267" s="20"/>
      <c r="AM267" s="25"/>
      <c r="AN267" s="20"/>
      <c r="AO267" s="20"/>
      <c r="AQ267" s="20"/>
    </row>
    <row r="268" spans="2:43" x14ac:dyDescent="0.3">
      <c r="B268" s="9"/>
      <c r="C268" s="9"/>
      <c r="D268" s="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25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5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5"/>
      <c r="AL268" s="20"/>
      <c r="AM268" s="25"/>
      <c r="AN268" s="20"/>
      <c r="AO268" s="20"/>
      <c r="AQ268" s="20"/>
    </row>
    <row r="269" spans="2:43" x14ac:dyDescent="0.3">
      <c r="B269" s="9"/>
      <c r="C269" s="9"/>
      <c r="D269" s="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25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5"/>
      <c r="AA269" s="20"/>
      <c r="AB269" s="20"/>
      <c r="AC269" s="20"/>
      <c r="AD269" s="20"/>
      <c r="AE269" s="20"/>
      <c r="AF269" s="20"/>
      <c r="AG269" s="20"/>
      <c r="AH269" s="20"/>
      <c r="AI269" s="20"/>
      <c r="AJ269" s="20"/>
      <c r="AK269" s="25"/>
      <c r="AL269" s="20"/>
      <c r="AM269" s="25"/>
      <c r="AN269" s="20"/>
      <c r="AO269" s="20"/>
      <c r="AQ269" s="20"/>
    </row>
    <row r="270" spans="2:43" x14ac:dyDescent="0.3">
      <c r="B270" s="9"/>
      <c r="C270" s="9"/>
      <c r="D270" s="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25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5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5"/>
      <c r="AL270" s="20"/>
      <c r="AM270" s="25"/>
      <c r="AN270" s="20"/>
      <c r="AO270" s="20"/>
      <c r="AQ270" s="20"/>
    </row>
    <row r="271" spans="2:43" x14ac:dyDescent="0.3">
      <c r="B271" s="9"/>
      <c r="C271" s="9"/>
      <c r="D271" s="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25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5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5"/>
      <c r="AL271" s="20"/>
      <c r="AM271" s="25"/>
      <c r="AN271" s="20"/>
      <c r="AO271" s="20"/>
      <c r="AQ271" s="20"/>
    </row>
    <row r="272" spans="2:43" x14ac:dyDescent="0.3">
      <c r="B272" s="9"/>
      <c r="C272" s="9"/>
      <c r="D272" s="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25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5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5"/>
      <c r="AL272" s="20"/>
      <c r="AM272" s="25"/>
      <c r="AN272" s="20"/>
      <c r="AO272" s="20"/>
      <c r="AQ272" s="20"/>
    </row>
    <row r="273" spans="2:43" x14ac:dyDescent="0.3">
      <c r="B273" s="9"/>
      <c r="C273" s="9"/>
      <c r="D273" s="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25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5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5"/>
      <c r="AL273" s="20"/>
      <c r="AM273" s="25"/>
      <c r="AN273" s="20"/>
      <c r="AO273" s="20"/>
      <c r="AQ273" s="20"/>
    </row>
    <row r="274" spans="2:43" x14ac:dyDescent="0.3">
      <c r="B274" s="9"/>
      <c r="C274" s="9"/>
      <c r="D274" s="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25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5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5"/>
      <c r="AL274" s="20"/>
      <c r="AM274" s="25"/>
      <c r="AN274" s="20"/>
      <c r="AO274" s="20"/>
      <c r="AQ274" s="20"/>
    </row>
    <row r="275" spans="2:43" x14ac:dyDescent="0.3">
      <c r="B275" s="9"/>
      <c r="C275" s="9"/>
      <c r="D275" s="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25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5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5"/>
      <c r="AL275" s="20"/>
      <c r="AM275" s="25"/>
      <c r="AN275" s="20"/>
      <c r="AO275" s="20"/>
      <c r="AQ275" s="20"/>
    </row>
    <row r="276" spans="2:43" x14ac:dyDescent="0.3">
      <c r="B276" s="9"/>
      <c r="C276" s="9"/>
      <c r="D276" s="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25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5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5"/>
      <c r="AL276" s="20"/>
      <c r="AM276" s="25"/>
      <c r="AN276" s="20"/>
      <c r="AO276" s="20"/>
      <c r="AQ276" s="20"/>
    </row>
    <row r="277" spans="2:43" x14ac:dyDescent="0.3">
      <c r="B277" s="9"/>
      <c r="C277" s="9"/>
      <c r="D277" s="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25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5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5"/>
      <c r="AL277" s="20"/>
      <c r="AM277" s="25"/>
      <c r="AN277" s="20"/>
      <c r="AO277" s="20"/>
      <c r="AQ277" s="20"/>
    </row>
    <row r="278" spans="2:43" x14ac:dyDescent="0.3">
      <c r="B278" s="9"/>
      <c r="C278" s="9"/>
      <c r="D278" s="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25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5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5"/>
      <c r="AL278" s="20"/>
      <c r="AM278" s="25"/>
      <c r="AN278" s="20"/>
      <c r="AO278" s="20"/>
      <c r="AQ278" s="20"/>
    </row>
    <row r="279" spans="2:43" x14ac:dyDescent="0.3">
      <c r="B279" s="9"/>
      <c r="C279" s="9"/>
      <c r="D279" s="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25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5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5"/>
      <c r="AL279" s="20"/>
      <c r="AM279" s="25"/>
      <c r="AN279" s="20"/>
      <c r="AO279" s="20"/>
      <c r="AQ279" s="20"/>
    </row>
    <row r="280" spans="2:43" x14ac:dyDescent="0.3">
      <c r="B280" s="9"/>
      <c r="C280" s="9"/>
      <c r="D280" s="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25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5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5"/>
      <c r="AL280" s="20"/>
      <c r="AM280" s="25"/>
      <c r="AN280" s="20"/>
      <c r="AO280" s="20"/>
      <c r="AQ280" s="20"/>
    </row>
    <row r="281" spans="2:43" x14ac:dyDescent="0.3">
      <c r="B281" s="9"/>
      <c r="C281" s="9"/>
      <c r="D281" s="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25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5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5"/>
      <c r="AL281" s="20"/>
      <c r="AM281" s="25"/>
      <c r="AN281" s="20"/>
      <c r="AO281" s="20"/>
      <c r="AQ281" s="20"/>
    </row>
    <row r="282" spans="2:43" x14ac:dyDescent="0.3">
      <c r="B282" s="9"/>
      <c r="C282" s="9"/>
      <c r="D282" s="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25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5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5"/>
      <c r="AL282" s="20"/>
      <c r="AM282" s="25"/>
      <c r="AN282" s="20"/>
      <c r="AO282" s="20"/>
      <c r="AQ282" s="20"/>
    </row>
    <row r="283" spans="2:43" x14ac:dyDescent="0.3">
      <c r="B283" s="9"/>
      <c r="C283" s="9"/>
      <c r="D283" s="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25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5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5"/>
      <c r="AL283" s="20"/>
      <c r="AM283" s="25"/>
      <c r="AN283" s="20"/>
      <c r="AO283" s="20"/>
      <c r="AQ283" s="20"/>
    </row>
    <row r="284" spans="2:43" x14ac:dyDescent="0.3">
      <c r="B284" s="9"/>
      <c r="C284" s="9"/>
      <c r="D284" s="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25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5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5"/>
      <c r="AL284" s="20"/>
      <c r="AM284" s="25"/>
      <c r="AN284" s="20"/>
      <c r="AO284" s="20"/>
      <c r="AQ284" s="20"/>
    </row>
    <row r="285" spans="2:43" x14ac:dyDescent="0.3">
      <c r="B285" s="9"/>
      <c r="C285" s="9"/>
      <c r="D285" s="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25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5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5"/>
      <c r="AL285" s="20"/>
      <c r="AM285" s="25"/>
      <c r="AN285" s="20"/>
      <c r="AO285" s="20"/>
      <c r="AQ285" s="20"/>
    </row>
    <row r="286" spans="2:43" x14ac:dyDescent="0.3">
      <c r="B286" s="9"/>
      <c r="C286" s="9"/>
      <c r="D286" s="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25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5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5"/>
      <c r="AL286" s="20"/>
      <c r="AM286" s="25"/>
      <c r="AN286" s="20"/>
      <c r="AO286" s="20"/>
      <c r="AQ286" s="20"/>
    </row>
    <row r="287" spans="2:43" x14ac:dyDescent="0.3">
      <c r="B287" s="9"/>
      <c r="C287" s="9"/>
      <c r="D287" s="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25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5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5"/>
      <c r="AL287" s="20"/>
      <c r="AM287" s="25"/>
      <c r="AN287" s="20"/>
      <c r="AO287" s="20"/>
      <c r="AQ287" s="20"/>
    </row>
    <row r="288" spans="2:43" x14ac:dyDescent="0.3">
      <c r="B288" s="9"/>
      <c r="C288" s="9"/>
      <c r="D288" s="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25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5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5"/>
      <c r="AL288" s="20"/>
      <c r="AM288" s="25"/>
      <c r="AN288" s="20"/>
      <c r="AO288" s="20"/>
      <c r="AQ288" s="20"/>
    </row>
    <row r="289" spans="2:43" x14ac:dyDescent="0.3">
      <c r="B289" s="9"/>
      <c r="C289" s="9"/>
      <c r="D289" s="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25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5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5"/>
      <c r="AL289" s="20"/>
      <c r="AM289" s="25"/>
      <c r="AN289" s="20"/>
      <c r="AO289" s="20"/>
      <c r="AQ289" s="20"/>
    </row>
    <row r="290" spans="2:43" x14ac:dyDescent="0.3">
      <c r="B290" s="9"/>
      <c r="C290" s="9"/>
      <c r="D290" s="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25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5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5"/>
      <c r="AL290" s="20"/>
      <c r="AM290" s="25"/>
      <c r="AN290" s="20"/>
      <c r="AO290" s="20"/>
      <c r="AQ290" s="20"/>
    </row>
    <row r="291" spans="2:43" x14ac:dyDescent="0.3">
      <c r="B291" s="9"/>
      <c r="C291" s="9"/>
      <c r="D291" s="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25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5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5"/>
      <c r="AL291" s="20"/>
      <c r="AM291" s="25"/>
      <c r="AN291" s="20"/>
      <c r="AO291" s="20"/>
      <c r="AQ291" s="20"/>
    </row>
    <row r="292" spans="2:43" x14ac:dyDescent="0.3">
      <c r="B292" s="9"/>
      <c r="C292" s="9"/>
      <c r="D292" s="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25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5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5"/>
      <c r="AL292" s="20"/>
      <c r="AM292" s="25"/>
      <c r="AN292" s="20"/>
      <c r="AO292" s="20"/>
      <c r="AQ292" s="20"/>
    </row>
    <row r="293" spans="2:43" x14ac:dyDescent="0.3">
      <c r="B293" s="9"/>
      <c r="C293" s="9"/>
      <c r="D293" s="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25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5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5"/>
      <c r="AL293" s="20"/>
      <c r="AM293" s="25"/>
      <c r="AN293" s="20"/>
      <c r="AO293" s="20"/>
      <c r="AQ293" s="20"/>
    </row>
    <row r="294" spans="2:43" x14ac:dyDescent="0.3">
      <c r="B294" s="9"/>
      <c r="C294" s="9"/>
      <c r="D294" s="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25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5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5"/>
      <c r="AL294" s="20"/>
      <c r="AM294" s="25"/>
      <c r="AN294" s="20"/>
      <c r="AO294" s="20"/>
      <c r="AQ294" s="20"/>
    </row>
    <row r="295" spans="2:43" x14ac:dyDescent="0.3">
      <c r="B295" s="9"/>
      <c r="C295" s="9"/>
      <c r="D295" s="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25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5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5"/>
      <c r="AL295" s="20"/>
      <c r="AM295" s="25"/>
      <c r="AN295" s="20"/>
      <c r="AO295" s="20"/>
      <c r="AQ295" s="20"/>
    </row>
    <row r="296" spans="2:43" x14ac:dyDescent="0.3">
      <c r="B296" s="9"/>
      <c r="C296" s="9"/>
      <c r="D296" s="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25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5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5"/>
      <c r="AL296" s="20"/>
      <c r="AM296" s="25"/>
      <c r="AN296" s="20"/>
      <c r="AO296" s="20"/>
      <c r="AQ296" s="20"/>
    </row>
    <row r="297" spans="2:43" x14ac:dyDescent="0.3">
      <c r="B297" s="9"/>
      <c r="C297" s="9"/>
      <c r="D297" s="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25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5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5"/>
      <c r="AL297" s="20"/>
      <c r="AM297" s="25"/>
      <c r="AN297" s="20"/>
      <c r="AO297" s="20"/>
      <c r="AQ297" s="20"/>
    </row>
    <row r="298" spans="2:43" x14ac:dyDescent="0.3">
      <c r="B298" s="9"/>
      <c r="C298" s="9"/>
      <c r="D298" s="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25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5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5"/>
      <c r="AL298" s="20"/>
      <c r="AM298" s="25"/>
      <c r="AN298" s="20"/>
      <c r="AO298" s="20"/>
      <c r="AQ298" s="20"/>
    </row>
    <row r="299" spans="2:43" x14ac:dyDescent="0.3">
      <c r="B299" s="9"/>
      <c r="C299" s="9"/>
      <c r="D299" s="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25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5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5"/>
      <c r="AL299" s="20"/>
      <c r="AM299" s="25"/>
      <c r="AN299" s="20"/>
      <c r="AO299" s="20"/>
      <c r="AQ299" s="20"/>
    </row>
    <row r="300" spans="2:43" x14ac:dyDescent="0.3">
      <c r="B300" s="9"/>
      <c r="C300" s="9"/>
      <c r="D300" s="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25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5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5"/>
      <c r="AL300" s="20"/>
      <c r="AM300" s="25"/>
      <c r="AN300" s="20"/>
      <c r="AO300" s="20"/>
      <c r="AQ300" s="20"/>
    </row>
    <row r="301" spans="2:43" x14ac:dyDescent="0.3">
      <c r="B301" s="9"/>
      <c r="C301" s="9"/>
      <c r="D301" s="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25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5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5"/>
      <c r="AL301" s="20"/>
      <c r="AM301" s="25"/>
      <c r="AN301" s="20"/>
      <c r="AO301" s="20"/>
      <c r="AQ301" s="20"/>
    </row>
    <row r="302" spans="2:43" x14ac:dyDescent="0.3">
      <c r="B302" s="9"/>
      <c r="C302" s="9"/>
      <c r="D302" s="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25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5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5"/>
      <c r="AL302" s="20"/>
      <c r="AM302" s="25"/>
      <c r="AN302" s="20"/>
      <c r="AO302" s="20"/>
      <c r="AQ302" s="20"/>
    </row>
    <row r="303" spans="2:43" x14ac:dyDescent="0.3">
      <c r="B303" s="9"/>
      <c r="C303" s="9"/>
      <c r="D303" s="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25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5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5"/>
      <c r="AL303" s="20"/>
      <c r="AM303" s="25"/>
      <c r="AN303" s="20"/>
      <c r="AO303" s="20"/>
      <c r="AQ303" s="20"/>
    </row>
    <row r="304" spans="2:43" x14ac:dyDescent="0.3">
      <c r="B304" s="9"/>
      <c r="C304" s="9"/>
      <c r="D304" s="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25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5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5"/>
      <c r="AL304" s="20"/>
      <c r="AM304" s="25"/>
      <c r="AN304" s="20"/>
      <c r="AO304" s="20"/>
      <c r="AQ304" s="20"/>
    </row>
    <row r="305" spans="2:43" x14ac:dyDescent="0.3">
      <c r="B305" s="9"/>
      <c r="C305" s="9"/>
      <c r="D305" s="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25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5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5"/>
      <c r="AL305" s="20"/>
      <c r="AM305" s="25"/>
      <c r="AN305" s="20"/>
      <c r="AO305" s="20"/>
      <c r="AQ305" s="20"/>
    </row>
    <row r="306" spans="2:43" x14ac:dyDescent="0.3">
      <c r="B306" s="9"/>
      <c r="C306" s="9"/>
      <c r="D306" s="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25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5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5"/>
      <c r="AL306" s="20"/>
      <c r="AM306" s="25"/>
      <c r="AN306" s="20"/>
      <c r="AO306" s="20"/>
      <c r="AQ306" s="20"/>
    </row>
    <row r="307" spans="2:43" x14ac:dyDescent="0.3">
      <c r="B307" s="9"/>
      <c r="C307" s="9"/>
      <c r="D307" s="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25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5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5"/>
      <c r="AL307" s="20"/>
      <c r="AM307" s="25"/>
      <c r="AN307" s="20"/>
      <c r="AO307" s="20"/>
      <c r="AQ307" s="20"/>
    </row>
    <row r="308" spans="2:43" x14ac:dyDescent="0.3">
      <c r="B308" s="9"/>
      <c r="C308" s="9"/>
      <c r="D308" s="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25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5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5"/>
      <c r="AL308" s="20"/>
      <c r="AM308" s="25"/>
      <c r="AN308" s="20"/>
      <c r="AO308" s="20"/>
      <c r="AQ308" s="20"/>
    </row>
    <row r="309" spans="2:43" x14ac:dyDescent="0.3">
      <c r="B309" s="9"/>
      <c r="C309" s="9"/>
      <c r="D309" s="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25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5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5"/>
      <c r="AL309" s="20"/>
      <c r="AM309" s="25"/>
      <c r="AN309" s="20"/>
      <c r="AO309" s="20"/>
      <c r="AQ309" s="20"/>
    </row>
    <row r="310" spans="2:43" x14ac:dyDescent="0.3">
      <c r="B310" s="9"/>
      <c r="C310" s="9"/>
      <c r="D310" s="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25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5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5"/>
      <c r="AL310" s="20"/>
      <c r="AM310" s="25"/>
      <c r="AN310" s="20"/>
      <c r="AO310" s="20"/>
      <c r="AQ310" s="20"/>
    </row>
    <row r="311" spans="2:43" x14ac:dyDescent="0.3">
      <c r="B311" s="9"/>
      <c r="C311" s="9"/>
      <c r="D311" s="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25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5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5"/>
      <c r="AL311" s="20"/>
      <c r="AM311" s="25"/>
      <c r="AN311" s="20"/>
      <c r="AO311" s="20"/>
      <c r="AQ311" s="20"/>
    </row>
    <row r="312" spans="2:43" x14ac:dyDescent="0.3">
      <c r="B312" s="9"/>
      <c r="C312" s="9"/>
      <c r="D312" s="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25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5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5"/>
      <c r="AL312" s="20"/>
      <c r="AM312" s="25"/>
      <c r="AN312" s="20"/>
      <c r="AO312" s="20"/>
      <c r="AQ312" s="20"/>
    </row>
    <row r="313" spans="2:43" x14ac:dyDescent="0.3">
      <c r="B313" s="9"/>
      <c r="C313" s="9"/>
      <c r="D313" s="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25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5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5"/>
      <c r="AL313" s="20"/>
      <c r="AM313" s="25"/>
      <c r="AN313" s="20"/>
      <c r="AO313" s="20"/>
      <c r="AQ313" s="20"/>
    </row>
    <row r="314" spans="2:43" x14ac:dyDescent="0.3">
      <c r="B314" s="9"/>
      <c r="C314" s="9"/>
      <c r="D314" s="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25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5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5"/>
      <c r="AL314" s="20"/>
      <c r="AM314" s="25"/>
      <c r="AN314" s="20"/>
      <c r="AO314" s="20"/>
      <c r="AQ314" s="20"/>
    </row>
    <row r="315" spans="2:43" x14ac:dyDescent="0.3">
      <c r="B315" s="9"/>
      <c r="C315" s="9"/>
      <c r="D315" s="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25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5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5"/>
      <c r="AL315" s="20"/>
      <c r="AM315" s="25"/>
      <c r="AN315" s="20"/>
      <c r="AO315" s="20"/>
      <c r="AQ315" s="20"/>
    </row>
    <row r="316" spans="2:43" x14ac:dyDescent="0.3">
      <c r="B316" s="9"/>
      <c r="C316" s="9"/>
      <c r="D316" s="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25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5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5"/>
      <c r="AL316" s="20"/>
      <c r="AM316" s="25"/>
      <c r="AN316" s="20"/>
      <c r="AO316" s="20"/>
      <c r="AQ316" s="20"/>
    </row>
    <row r="317" spans="2:43" x14ac:dyDescent="0.3">
      <c r="B317" s="9"/>
      <c r="C317" s="9"/>
      <c r="D317" s="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25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5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5"/>
      <c r="AL317" s="20"/>
      <c r="AM317" s="25"/>
      <c r="AN317" s="20"/>
      <c r="AO317" s="20"/>
      <c r="AQ317" s="20"/>
    </row>
    <row r="318" spans="2:43" x14ac:dyDescent="0.3">
      <c r="B318" s="9"/>
      <c r="C318" s="9"/>
      <c r="D318" s="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25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5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5"/>
      <c r="AL318" s="20"/>
      <c r="AM318" s="25"/>
      <c r="AN318" s="20"/>
      <c r="AO318" s="20"/>
      <c r="AQ318" s="20"/>
    </row>
    <row r="319" spans="2:43" x14ac:dyDescent="0.3">
      <c r="B319" s="9"/>
      <c r="C319" s="9"/>
      <c r="D319" s="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25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5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5"/>
      <c r="AL319" s="20"/>
      <c r="AM319" s="25"/>
      <c r="AN319" s="20"/>
      <c r="AO319" s="20"/>
      <c r="AQ319" s="20"/>
    </row>
    <row r="320" spans="2:43" x14ac:dyDescent="0.3">
      <c r="B320" s="9"/>
      <c r="C320" s="9"/>
      <c r="D320" s="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25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5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5"/>
      <c r="AL320" s="20"/>
      <c r="AM320" s="25"/>
      <c r="AN320" s="20"/>
      <c r="AO320" s="20"/>
      <c r="AQ320" s="20"/>
    </row>
    <row r="321" spans="2:43" x14ac:dyDescent="0.3">
      <c r="B321" s="9"/>
      <c r="C321" s="9"/>
      <c r="D321" s="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25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5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5"/>
      <c r="AL321" s="20"/>
      <c r="AM321" s="25"/>
      <c r="AN321" s="20"/>
      <c r="AO321" s="20"/>
      <c r="AQ321" s="20"/>
    </row>
    <row r="322" spans="2:43" x14ac:dyDescent="0.3">
      <c r="B322" s="9"/>
      <c r="C322" s="9"/>
      <c r="D322" s="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25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5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5"/>
      <c r="AL322" s="20"/>
      <c r="AM322" s="25"/>
      <c r="AN322" s="20"/>
      <c r="AO322" s="20"/>
      <c r="AQ322" s="20"/>
    </row>
    <row r="323" spans="2:43" x14ac:dyDescent="0.3">
      <c r="B323" s="9"/>
      <c r="C323" s="9"/>
      <c r="D323" s="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25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5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5"/>
      <c r="AL323" s="20"/>
      <c r="AM323" s="25"/>
      <c r="AN323" s="20"/>
      <c r="AO323" s="20"/>
      <c r="AQ323" s="20"/>
    </row>
    <row r="324" spans="2:43" x14ac:dyDescent="0.3">
      <c r="B324" s="9"/>
      <c r="C324" s="9"/>
      <c r="D324" s="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25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5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5"/>
      <c r="AL324" s="20"/>
      <c r="AM324" s="25"/>
      <c r="AN324" s="20"/>
      <c r="AO324" s="20"/>
      <c r="AQ324" s="20"/>
    </row>
    <row r="325" spans="2:43" x14ac:dyDescent="0.3">
      <c r="B325" s="9"/>
      <c r="C325" s="9"/>
      <c r="D325" s="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25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5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5"/>
      <c r="AL325" s="20"/>
      <c r="AM325" s="25"/>
      <c r="AN325" s="20"/>
      <c r="AO325" s="20"/>
      <c r="AQ325" s="20"/>
    </row>
    <row r="326" spans="2:43" x14ac:dyDescent="0.3">
      <c r="B326" s="9"/>
      <c r="C326" s="9"/>
      <c r="D326" s="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25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5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5"/>
      <c r="AL326" s="20"/>
      <c r="AM326" s="25"/>
      <c r="AN326" s="20"/>
      <c r="AO326" s="20"/>
      <c r="AQ326" s="20"/>
    </row>
    <row r="327" spans="2:43" x14ac:dyDescent="0.3">
      <c r="B327" s="9"/>
      <c r="C327" s="9"/>
      <c r="D327" s="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25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5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5"/>
      <c r="AL327" s="20"/>
      <c r="AM327" s="25"/>
      <c r="AN327" s="20"/>
      <c r="AO327" s="20"/>
      <c r="AQ327" s="20"/>
    </row>
    <row r="328" spans="2:43" x14ac:dyDescent="0.3">
      <c r="B328" s="9"/>
      <c r="C328" s="9"/>
      <c r="D328" s="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25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5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5"/>
      <c r="AL328" s="20"/>
      <c r="AM328" s="25"/>
      <c r="AN328" s="20"/>
      <c r="AO328" s="20"/>
      <c r="AQ328" s="20"/>
    </row>
    <row r="329" spans="2:43" x14ac:dyDescent="0.3">
      <c r="B329" s="9"/>
      <c r="C329" s="9"/>
      <c r="D329" s="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25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5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5"/>
      <c r="AL329" s="20"/>
      <c r="AM329" s="25"/>
      <c r="AN329" s="20"/>
      <c r="AO329" s="20"/>
      <c r="AQ329" s="20"/>
    </row>
    <row r="330" spans="2:43" x14ac:dyDescent="0.3">
      <c r="B330" s="9"/>
      <c r="C330" s="9"/>
      <c r="D330" s="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25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5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5"/>
      <c r="AL330" s="20"/>
      <c r="AM330" s="25"/>
      <c r="AN330" s="20"/>
      <c r="AO330" s="20"/>
      <c r="AQ330" s="20"/>
    </row>
    <row r="331" spans="2:43" x14ac:dyDescent="0.3">
      <c r="B331" s="9"/>
      <c r="C331" s="9"/>
      <c r="D331" s="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25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5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5"/>
      <c r="AL331" s="20"/>
      <c r="AM331" s="25"/>
      <c r="AN331" s="20"/>
      <c r="AO331" s="20"/>
      <c r="AQ331" s="20"/>
    </row>
    <row r="332" spans="2:43" x14ac:dyDescent="0.3">
      <c r="B332" s="9"/>
      <c r="C332" s="9"/>
      <c r="D332" s="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25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5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5"/>
      <c r="AL332" s="20"/>
      <c r="AM332" s="25"/>
      <c r="AN332" s="20"/>
      <c r="AO332" s="20"/>
      <c r="AQ332" s="20"/>
    </row>
    <row r="333" spans="2:43" x14ac:dyDescent="0.3">
      <c r="B333" s="9"/>
      <c r="C333" s="9"/>
      <c r="D333" s="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25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5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5"/>
      <c r="AL333" s="20"/>
      <c r="AM333" s="25"/>
      <c r="AN333" s="20"/>
      <c r="AO333" s="20"/>
      <c r="AQ333" s="20"/>
    </row>
    <row r="334" spans="2:43" x14ac:dyDescent="0.3">
      <c r="B334" s="9"/>
      <c r="C334" s="9"/>
      <c r="D334" s="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25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5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5"/>
      <c r="AL334" s="20"/>
      <c r="AM334" s="25"/>
      <c r="AN334" s="20"/>
      <c r="AO334" s="20"/>
      <c r="AQ334" s="20"/>
    </row>
    <row r="335" spans="2:43" x14ac:dyDescent="0.3">
      <c r="B335" s="9"/>
      <c r="C335" s="9"/>
      <c r="D335" s="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25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5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5"/>
      <c r="AL335" s="20"/>
      <c r="AM335" s="25"/>
      <c r="AN335" s="20"/>
      <c r="AO335" s="20"/>
      <c r="AQ335" s="20"/>
    </row>
    <row r="336" spans="2:43" x14ac:dyDescent="0.3">
      <c r="B336" s="9"/>
      <c r="C336" s="9"/>
      <c r="D336" s="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25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5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5"/>
      <c r="AL336" s="20"/>
      <c r="AM336" s="25"/>
      <c r="AN336" s="20"/>
      <c r="AO336" s="20"/>
      <c r="AQ336" s="20"/>
    </row>
    <row r="337" spans="2:43" x14ac:dyDescent="0.3">
      <c r="B337" s="9"/>
      <c r="C337" s="9"/>
      <c r="D337" s="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25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5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5"/>
      <c r="AL337" s="20"/>
      <c r="AM337" s="25"/>
      <c r="AN337" s="20"/>
      <c r="AO337" s="20"/>
      <c r="AQ337" s="20"/>
    </row>
    <row r="338" spans="2:43" x14ac:dyDescent="0.3">
      <c r="B338" s="9"/>
      <c r="C338" s="9"/>
      <c r="D338" s="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25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5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5"/>
      <c r="AL338" s="20"/>
      <c r="AM338" s="25"/>
      <c r="AN338" s="20"/>
      <c r="AO338" s="20"/>
      <c r="AQ338" s="20"/>
    </row>
    <row r="339" spans="2:43" x14ac:dyDescent="0.3">
      <c r="B339" s="9"/>
      <c r="C339" s="9"/>
      <c r="D339" s="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25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5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5"/>
      <c r="AL339" s="20"/>
      <c r="AM339" s="25"/>
      <c r="AN339" s="20"/>
      <c r="AO339" s="20"/>
      <c r="AQ339" s="20"/>
    </row>
    <row r="340" spans="2:43" x14ac:dyDescent="0.3">
      <c r="B340" s="9"/>
      <c r="C340" s="9"/>
      <c r="D340" s="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25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5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5"/>
      <c r="AL340" s="20"/>
      <c r="AM340" s="25"/>
      <c r="AN340" s="20"/>
      <c r="AO340" s="20"/>
      <c r="AQ340" s="20"/>
    </row>
    <row r="341" spans="2:43" x14ac:dyDescent="0.3">
      <c r="B341" s="9"/>
      <c r="C341" s="9"/>
      <c r="D341" s="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25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5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5"/>
      <c r="AL341" s="20"/>
      <c r="AM341" s="25"/>
      <c r="AN341" s="20"/>
      <c r="AO341" s="20"/>
      <c r="AQ341" s="20"/>
    </row>
    <row r="342" spans="2:43" x14ac:dyDescent="0.3">
      <c r="B342" s="9"/>
      <c r="C342" s="9"/>
      <c r="D342" s="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25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5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5"/>
      <c r="AL342" s="20"/>
      <c r="AM342" s="25"/>
      <c r="AN342" s="20"/>
      <c r="AO342" s="20"/>
      <c r="AQ342" s="20"/>
    </row>
    <row r="343" spans="2:43" x14ac:dyDescent="0.3">
      <c r="B343" s="9"/>
      <c r="C343" s="9"/>
      <c r="D343" s="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25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5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5"/>
      <c r="AL343" s="20"/>
      <c r="AM343" s="25"/>
      <c r="AN343" s="20"/>
      <c r="AO343" s="20"/>
      <c r="AQ343" s="20"/>
    </row>
    <row r="344" spans="2:43" x14ac:dyDescent="0.3">
      <c r="B344" s="9"/>
      <c r="C344" s="9"/>
      <c r="D344" s="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25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5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5"/>
      <c r="AL344" s="20"/>
      <c r="AM344" s="25"/>
      <c r="AN344" s="20"/>
      <c r="AO344" s="20"/>
      <c r="AQ344" s="20"/>
    </row>
    <row r="345" spans="2:43" x14ac:dyDescent="0.3">
      <c r="B345" s="9"/>
      <c r="C345" s="9"/>
      <c r="D345" s="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25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5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5"/>
      <c r="AL345" s="20"/>
      <c r="AM345" s="25"/>
      <c r="AN345" s="20"/>
      <c r="AO345" s="20"/>
      <c r="AQ345" s="20"/>
    </row>
    <row r="346" spans="2:43" x14ac:dyDescent="0.3">
      <c r="B346" s="9"/>
      <c r="C346" s="9"/>
      <c r="D346" s="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25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5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5"/>
      <c r="AL346" s="20"/>
      <c r="AM346" s="25"/>
      <c r="AN346" s="20"/>
      <c r="AO346" s="20"/>
      <c r="AQ346" s="20"/>
    </row>
    <row r="347" spans="2:43" x14ac:dyDescent="0.3">
      <c r="B347" s="9"/>
      <c r="C347" s="9"/>
      <c r="D347" s="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25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5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5"/>
      <c r="AL347" s="20"/>
      <c r="AM347" s="25"/>
      <c r="AN347" s="20"/>
      <c r="AO347" s="20"/>
      <c r="AQ347" s="20"/>
    </row>
    <row r="348" spans="2:43" x14ac:dyDescent="0.3">
      <c r="B348" s="9"/>
      <c r="C348" s="9"/>
      <c r="D348" s="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25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5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5"/>
      <c r="AL348" s="20"/>
      <c r="AM348" s="25"/>
      <c r="AN348" s="20"/>
      <c r="AO348" s="20"/>
      <c r="AQ348" s="20"/>
    </row>
    <row r="349" spans="2:43" x14ac:dyDescent="0.3">
      <c r="B349" s="9"/>
      <c r="C349" s="9"/>
      <c r="D349" s="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25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5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5"/>
      <c r="AL349" s="20"/>
      <c r="AM349" s="25"/>
      <c r="AN349" s="20"/>
      <c r="AO349" s="20"/>
      <c r="AQ349" s="20"/>
    </row>
    <row r="350" spans="2:43" x14ac:dyDescent="0.3">
      <c r="B350" s="9"/>
      <c r="C350" s="9"/>
      <c r="D350" s="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25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5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5"/>
      <c r="AL350" s="20"/>
      <c r="AM350" s="25"/>
      <c r="AN350" s="20"/>
      <c r="AO350" s="20"/>
      <c r="AQ350" s="20"/>
    </row>
    <row r="351" spans="2:43" x14ac:dyDescent="0.3">
      <c r="B351" s="9"/>
      <c r="C351" s="9"/>
      <c r="D351" s="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25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5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5"/>
      <c r="AL351" s="20"/>
      <c r="AM351" s="25"/>
      <c r="AN351" s="20"/>
      <c r="AO351" s="20"/>
      <c r="AQ351" s="20"/>
    </row>
    <row r="352" spans="2:43" x14ac:dyDescent="0.3">
      <c r="B352" s="9"/>
      <c r="C352" s="9"/>
      <c r="D352" s="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25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5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5"/>
      <c r="AL352" s="20"/>
      <c r="AM352" s="25"/>
      <c r="AN352" s="20"/>
      <c r="AO352" s="20"/>
      <c r="AQ352" s="20"/>
    </row>
    <row r="353" spans="2:43" x14ac:dyDescent="0.3">
      <c r="B353" s="9"/>
      <c r="C353" s="9"/>
      <c r="D353" s="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25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5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5"/>
      <c r="AL353" s="20"/>
      <c r="AM353" s="25"/>
      <c r="AN353" s="20"/>
      <c r="AO353" s="20"/>
      <c r="AQ353" s="20"/>
    </row>
    <row r="354" spans="2:43" x14ac:dyDescent="0.3">
      <c r="B354" s="9"/>
      <c r="C354" s="9"/>
      <c r="D354" s="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25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5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5"/>
      <c r="AL354" s="20"/>
      <c r="AM354" s="25"/>
      <c r="AN354" s="20"/>
      <c r="AO354" s="20"/>
      <c r="AQ354" s="20"/>
    </row>
    <row r="355" spans="2:43" x14ac:dyDescent="0.3">
      <c r="B355" s="9"/>
      <c r="C355" s="9"/>
      <c r="D355" s="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25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5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5"/>
      <c r="AL355" s="20"/>
      <c r="AM355" s="25"/>
      <c r="AN355" s="20"/>
      <c r="AO355" s="20"/>
      <c r="AQ355" s="20"/>
    </row>
    <row r="356" spans="2:43" x14ac:dyDescent="0.3">
      <c r="B356" s="9"/>
      <c r="C356" s="9"/>
      <c r="D356" s="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25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5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5"/>
      <c r="AL356" s="20"/>
      <c r="AM356" s="25"/>
      <c r="AN356" s="20"/>
      <c r="AO356" s="20"/>
      <c r="AQ356" s="20"/>
    </row>
    <row r="357" spans="2:43" x14ac:dyDescent="0.3">
      <c r="B357" s="9"/>
      <c r="C357" s="9"/>
      <c r="D357" s="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25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5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5"/>
      <c r="AL357" s="20"/>
      <c r="AM357" s="25"/>
      <c r="AN357" s="20"/>
      <c r="AO357" s="20"/>
      <c r="AQ357" s="20"/>
    </row>
    <row r="358" spans="2:43" x14ac:dyDescent="0.3">
      <c r="B358" s="9"/>
      <c r="C358" s="9"/>
      <c r="D358" s="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25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5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5"/>
      <c r="AL358" s="20"/>
      <c r="AM358" s="25"/>
      <c r="AN358" s="20"/>
      <c r="AO358" s="20"/>
      <c r="AQ358" s="20"/>
    </row>
    <row r="359" spans="2:43" x14ac:dyDescent="0.3">
      <c r="B359" s="9"/>
      <c r="C359" s="9"/>
      <c r="D359" s="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25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5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5"/>
      <c r="AL359" s="20"/>
      <c r="AM359" s="25"/>
      <c r="AN359" s="20"/>
      <c r="AO359" s="20"/>
      <c r="AQ359" s="20"/>
    </row>
    <row r="360" spans="2:43" x14ac:dyDescent="0.3">
      <c r="B360" s="9"/>
      <c r="C360" s="9"/>
      <c r="D360" s="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25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5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5"/>
      <c r="AL360" s="20"/>
      <c r="AM360" s="25"/>
      <c r="AN360" s="20"/>
      <c r="AO360" s="20"/>
      <c r="AQ360" s="20"/>
    </row>
    <row r="361" spans="2:43" x14ac:dyDescent="0.3">
      <c r="B361" s="9"/>
      <c r="C361" s="9"/>
      <c r="D361" s="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25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5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5"/>
      <c r="AL361" s="20"/>
      <c r="AM361" s="25"/>
      <c r="AN361" s="20"/>
      <c r="AO361" s="20"/>
      <c r="AQ361" s="20"/>
    </row>
    <row r="362" spans="2:43" x14ac:dyDescent="0.3">
      <c r="B362" s="9"/>
      <c r="C362" s="9"/>
      <c r="D362" s="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25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5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5"/>
      <c r="AL362" s="20"/>
      <c r="AM362" s="25"/>
      <c r="AN362" s="20"/>
      <c r="AO362" s="20"/>
      <c r="AQ362" s="20"/>
    </row>
    <row r="363" spans="2:43" x14ac:dyDescent="0.3">
      <c r="B363" s="9"/>
      <c r="C363" s="9"/>
      <c r="D363" s="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25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5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5"/>
      <c r="AL363" s="20"/>
      <c r="AM363" s="25"/>
      <c r="AN363" s="20"/>
      <c r="AO363" s="20"/>
      <c r="AQ363" s="20"/>
    </row>
    <row r="364" spans="2:43" x14ac:dyDescent="0.3">
      <c r="B364" s="9"/>
      <c r="C364" s="9"/>
      <c r="D364" s="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25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5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5"/>
      <c r="AL364" s="20"/>
      <c r="AM364" s="25"/>
      <c r="AN364" s="20"/>
      <c r="AO364" s="20"/>
      <c r="AQ364" s="20"/>
    </row>
    <row r="365" spans="2:43" x14ac:dyDescent="0.3">
      <c r="B365" s="9"/>
      <c r="C365" s="9"/>
      <c r="D365" s="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25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5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5"/>
      <c r="AL365" s="20"/>
      <c r="AM365" s="25"/>
      <c r="AN365" s="20"/>
      <c r="AO365" s="20"/>
      <c r="AQ365" s="20"/>
    </row>
    <row r="366" spans="2:43" x14ac:dyDescent="0.3">
      <c r="B366" s="9"/>
      <c r="C366" s="9"/>
      <c r="D366" s="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25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5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5"/>
      <c r="AL366" s="20"/>
      <c r="AM366" s="25"/>
      <c r="AN366" s="20"/>
      <c r="AO366" s="20"/>
      <c r="AQ366" s="20"/>
    </row>
    <row r="367" spans="2:43" x14ac:dyDescent="0.3">
      <c r="B367" s="9"/>
      <c r="C367" s="9"/>
      <c r="D367" s="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25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5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5"/>
      <c r="AL367" s="20"/>
      <c r="AM367" s="25"/>
      <c r="AN367" s="20"/>
      <c r="AO367" s="20"/>
      <c r="AQ367" s="20"/>
    </row>
    <row r="368" spans="2:43" x14ac:dyDescent="0.3">
      <c r="B368" s="9"/>
      <c r="C368" s="9"/>
      <c r="D368" s="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25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5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5"/>
      <c r="AL368" s="20"/>
      <c r="AM368" s="25"/>
      <c r="AN368" s="20"/>
      <c r="AO368" s="20"/>
      <c r="AQ368" s="20"/>
    </row>
    <row r="369" spans="2:43" x14ac:dyDescent="0.3">
      <c r="B369" s="9"/>
      <c r="C369" s="9"/>
      <c r="D369" s="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25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5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5"/>
      <c r="AL369" s="20"/>
      <c r="AM369" s="25"/>
      <c r="AN369" s="20"/>
      <c r="AO369" s="20"/>
      <c r="AQ369" s="20"/>
    </row>
    <row r="370" spans="2:43" x14ac:dyDescent="0.3">
      <c r="B370" s="9"/>
      <c r="C370" s="9"/>
      <c r="D370" s="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25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5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5"/>
      <c r="AL370" s="20"/>
      <c r="AM370" s="25"/>
      <c r="AN370" s="20"/>
      <c r="AO370" s="20"/>
      <c r="AQ370" s="20"/>
    </row>
    <row r="371" spans="2:43" x14ac:dyDescent="0.3">
      <c r="B371" s="9"/>
      <c r="C371" s="9"/>
      <c r="D371" s="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25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5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5"/>
      <c r="AL371" s="20"/>
      <c r="AM371" s="25"/>
      <c r="AN371" s="20"/>
      <c r="AO371" s="20"/>
      <c r="AQ371" s="20"/>
    </row>
    <row r="372" spans="2:43" x14ac:dyDescent="0.3">
      <c r="B372" s="9"/>
      <c r="C372" s="9"/>
      <c r="D372" s="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25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5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5"/>
      <c r="AL372" s="20"/>
      <c r="AM372" s="25"/>
      <c r="AN372" s="20"/>
      <c r="AO372" s="20"/>
      <c r="AQ372" s="20"/>
    </row>
    <row r="373" spans="2:43" x14ac:dyDescent="0.3">
      <c r="B373" s="9"/>
      <c r="C373" s="9"/>
      <c r="D373" s="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25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5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5"/>
      <c r="AL373" s="20"/>
      <c r="AM373" s="25"/>
      <c r="AN373" s="20"/>
      <c r="AO373" s="20"/>
      <c r="AQ373" s="20"/>
    </row>
    <row r="374" spans="2:43" x14ac:dyDescent="0.3">
      <c r="B374" s="9"/>
      <c r="C374" s="9"/>
      <c r="D374" s="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25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5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5"/>
      <c r="AL374" s="20"/>
      <c r="AM374" s="25"/>
      <c r="AN374" s="20"/>
      <c r="AO374" s="20"/>
      <c r="AQ374" s="20"/>
    </row>
    <row r="375" spans="2:43" x14ac:dyDescent="0.3">
      <c r="B375" s="9"/>
      <c r="C375" s="9"/>
      <c r="D375" s="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25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5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5"/>
      <c r="AL375" s="20"/>
      <c r="AM375" s="25"/>
      <c r="AN375" s="20"/>
      <c r="AO375" s="20"/>
      <c r="AQ375" s="20"/>
    </row>
    <row r="376" spans="2:43" x14ac:dyDescent="0.3">
      <c r="B376" s="9"/>
      <c r="C376" s="9"/>
      <c r="D376" s="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25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5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5"/>
      <c r="AL376" s="20"/>
      <c r="AM376" s="25"/>
      <c r="AN376" s="20"/>
      <c r="AO376" s="20"/>
      <c r="AQ376" s="20"/>
    </row>
    <row r="377" spans="2:43" x14ac:dyDescent="0.3">
      <c r="B377" s="9"/>
      <c r="C377" s="9"/>
      <c r="D377" s="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25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5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5"/>
      <c r="AL377" s="20"/>
      <c r="AM377" s="25"/>
      <c r="AN377" s="20"/>
      <c r="AO377" s="20"/>
      <c r="AQ377" s="20"/>
    </row>
    <row r="378" spans="2:43" x14ac:dyDescent="0.3">
      <c r="B378" s="9"/>
      <c r="C378" s="9"/>
      <c r="D378" s="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25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5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5"/>
      <c r="AL378" s="20"/>
      <c r="AM378" s="25"/>
      <c r="AN378" s="20"/>
      <c r="AO378" s="20"/>
      <c r="AQ378" s="20"/>
    </row>
    <row r="379" spans="2:43" x14ac:dyDescent="0.3">
      <c r="B379" s="9"/>
      <c r="C379" s="9"/>
      <c r="D379" s="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25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5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5"/>
      <c r="AL379" s="20"/>
      <c r="AM379" s="25"/>
      <c r="AN379" s="20"/>
      <c r="AO379" s="20"/>
      <c r="AQ379" s="20"/>
    </row>
    <row r="380" spans="2:43" x14ac:dyDescent="0.3">
      <c r="B380" s="9"/>
      <c r="C380" s="9"/>
      <c r="D380" s="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25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5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5"/>
      <c r="AL380" s="20"/>
      <c r="AM380" s="25"/>
      <c r="AN380" s="20"/>
      <c r="AO380" s="20"/>
      <c r="AQ380" s="20"/>
    </row>
    <row r="381" spans="2:43" x14ac:dyDescent="0.3">
      <c r="B381" s="9"/>
      <c r="C381" s="9"/>
      <c r="D381" s="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25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5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5"/>
      <c r="AL381" s="20"/>
      <c r="AM381" s="25"/>
      <c r="AN381" s="20"/>
      <c r="AO381" s="20"/>
      <c r="AQ381" s="20"/>
    </row>
    <row r="382" spans="2:43" x14ac:dyDescent="0.3">
      <c r="B382" s="9"/>
      <c r="C382" s="9"/>
      <c r="D382" s="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25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5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5"/>
      <c r="AL382" s="20"/>
      <c r="AM382" s="25"/>
      <c r="AN382" s="20"/>
      <c r="AO382" s="20"/>
      <c r="AQ382" s="20"/>
    </row>
    <row r="383" spans="2:43" x14ac:dyDescent="0.3">
      <c r="B383" s="9"/>
      <c r="C383" s="9"/>
      <c r="D383" s="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25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5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5"/>
      <c r="AL383" s="20"/>
      <c r="AM383" s="25"/>
      <c r="AN383" s="20"/>
      <c r="AO383" s="20"/>
      <c r="AQ383" s="20"/>
    </row>
    <row r="384" spans="2:43" x14ac:dyDescent="0.3">
      <c r="B384" s="9"/>
      <c r="C384" s="9"/>
      <c r="D384" s="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25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5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5"/>
      <c r="AL384" s="20"/>
      <c r="AM384" s="25"/>
      <c r="AN384" s="20"/>
      <c r="AO384" s="20"/>
      <c r="AQ384" s="2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B7:O617"/>
  <sheetViews>
    <sheetView topLeftCell="A3" workbookViewId="0">
      <selection activeCell="K7" sqref="K7"/>
    </sheetView>
  </sheetViews>
  <sheetFormatPr defaultRowHeight="14.4" x14ac:dyDescent="0.3"/>
  <cols>
    <col min="3" max="3" width="13.88671875" customWidth="1"/>
    <col min="6" max="15" width="12" bestFit="1" customWidth="1"/>
  </cols>
  <sheetData>
    <row r="7" spans="2:15" x14ac:dyDescent="0.3">
      <c r="E7" s="12"/>
      <c r="F7" s="12"/>
      <c r="G7" s="12"/>
      <c r="H7" s="12"/>
      <c r="I7" s="12"/>
      <c r="J7" s="12"/>
      <c r="K7" s="21" t="s">
        <v>93</v>
      </c>
      <c r="L7" s="12"/>
      <c r="M7" s="12"/>
      <c r="N7" s="12"/>
      <c r="O7" s="12"/>
    </row>
    <row r="8" spans="2:15" x14ac:dyDescent="0.3">
      <c r="B8" s="13" t="s">
        <v>1</v>
      </c>
      <c r="C8">
        <f>TL!D14</f>
        <v>8.6169999999999997E-5</v>
      </c>
      <c r="E8" s="21"/>
      <c r="F8" s="21">
        <v>1</v>
      </c>
      <c r="G8" s="21">
        <v>2</v>
      </c>
      <c r="H8" s="21">
        <v>3</v>
      </c>
      <c r="I8" s="21">
        <v>4</v>
      </c>
      <c r="J8" s="21">
        <v>5</v>
      </c>
      <c r="K8" s="21">
        <v>6</v>
      </c>
      <c r="L8" s="21">
        <v>7</v>
      </c>
      <c r="M8" s="21">
        <v>8</v>
      </c>
      <c r="N8" s="21">
        <v>9</v>
      </c>
      <c r="O8" s="21">
        <v>10</v>
      </c>
    </row>
    <row r="9" spans="2:15" x14ac:dyDescent="0.3">
      <c r="E9" s="15" t="s">
        <v>33</v>
      </c>
      <c r="F9">
        <f>TL!J16</f>
        <v>0.97201030266974642</v>
      </c>
      <c r="G9" s="14">
        <f>TL!K16</f>
        <v>1.2573189309331609</v>
      </c>
      <c r="H9" s="14">
        <f>TL!L16</f>
        <v>1.3617712019999999</v>
      </c>
      <c r="I9" s="14">
        <f>TL!M16</f>
        <v>1.64</v>
      </c>
      <c r="J9" s="14">
        <f>TL!N16</f>
        <v>2.2000000000000002</v>
      </c>
      <c r="K9" s="14">
        <f>TL!O16</f>
        <v>1.7348115152003905</v>
      </c>
      <c r="L9" s="14">
        <f>TL!P16</f>
        <v>2.2788654314476506</v>
      </c>
      <c r="M9" s="14">
        <f>TL!Q16</f>
        <v>2.3788654314476507</v>
      </c>
      <c r="N9" s="14">
        <f>TL!R16</f>
        <v>0.3</v>
      </c>
      <c r="O9" s="14">
        <f>TL!S16</f>
        <v>1.6536189618421298</v>
      </c>
    </row>
    <row r="10" spans="2:15" x14ac:dyDescent="0.3">
      <c r="E10" s="15" t="s">
        <v>2</v>
      </c>
      <c r="F10">
        <f>TL!J15</f>
        <v>337.85875255671328</v>
      </c>
      <c r="G10" s="14">
        <f>TL!K15</f>
        <v>391.5008069618209</v>
      </c>
      <c r="H10" s="14">
        <f>TL!L15</f>
        <v>430.06563974448545</v>
      </c>
      <c r="I10" s="14">
        <f>TL!M15</f>
        <v>461.68135565589193</v>
      </c>
      <c r="J10" s="14">
        <f>TL!N15</f>
        <v>487.97598859467769</v>
      </c>
      <c r="K10" s="14">
        <f>TL!O15</f>
        <v>525</v>
      </c>
      <c r="L10" s="14">
        <f>TL!P15</f>
        <v>552.28321057992719</v>
      </c>
      <c r="M10" s="14">
        <f>TL!Q15</f>
        <v>597.42359912374468</v>
      </c>
      <c r="N10" s="14">
        <f>TL!R15</f>
        <v>275.75501332280476</v>
      </c>
      <c r="O10" s="14">
        <f>TL!S15</f>
        <v>633.44195538740848</v>
      </c>
    </row>
    <row r="11" spans="2:15" x14ac:dyDescent="0.3">
      <c r="E11" s="11" t="s">
        <v>34</v>
      </c>
      <c r="F11">
        <f>$C$8*F10^2/F9*EXP(-F9/($C$8*F10))*(1-2*$C$8*F10/F9)</f>
        <v>3.0092943886469134E-14</v>
      </c>
      <c r="G11" s="14">
        <f t="shared" ref="G11:O11" si="0">$C$8*G10^2/G9*EXP(-G9/($C$8*G10))*(1-2*$C$8*G10/G9)</f>
        <v>6.4768955068046418E-16</v>
      </c>
      <c r="H11" s="14">
        <f t="shared" si="0"/>
        <v>1.2170612021465612E-15</v>
      </c>
      <c r="I11" s="14">
        <f t="shared" si="0"/>
        <v>1.3317935503149842E-17</v>
      </c>
      <c r="J11" s="14">
        <f t="shared" si="0"/>
        <v>1.7001804195576919E-22</v>
      </c>
      <c r="K11" s="14">
        <f t="shared" si="0"/>
        <v>2.8777842494999662E-16</v>
      </c>
      <c r="L11" s="14">
        <f t="shared" si="0"/>
        <v>1.7667741321068975E-20</v>
      </c>
      <c r="M11" s="14">
        <f t="shared" si="0"/>
        <v>1.0563261009210169E-19</v>
      </c>
      <c r="N11" s="14">
        <f t="shared" si="0"/>
        <v>6.0434170569156223E-5</v>
      </c>
      <c r="O11" s="14">
        <f t="shared" si="0"/>
        <v>1.3604240307983589E-12</v>
      </c>
    </row>
    <row r="14" spans="2:15" x14ac:dyDescent="0.3">
      <c r="D14" s="18" t="s">
        <v>35</v>
      </c>
      <c r="E14" s="18" t="s">
        <v>11</v>
      </c>
      <c r="F14" s="16" t="s">
        <v>36</v>
      </c>
      <c r="G14" s="16" t="s">
        <v>37</v>
      </c>
      <c r="H14" s="16" t="s">
        <v>38</v>
      </c>
      <c r="I14" s="16" t="s">
        <v>39</v>
      </c>
      <c r="J14" s="16" t="s">
        <v>40</v>
      </c>
      <c r="K14" s="16" t="s">
        <v>41</v>
      </c>
      <c r="L14" s="16" t="s">
        <v>42</v>
      </c>
      <c r="M14" s="16" t="s">
        <v>43</v>
      </c>
      <c r="N14" s="16" t="s">
        <v>44</v>
      </c>
      <c r="O14" s="16" t="s">
        <v>45</v>
      </c>
    </row>
    <row r="15" spans="2:15" x14ac:dyDescent="0.3">
      <c r="D15">
        <f>TL!D35</f>
        <v>324</v>
      </c>
      <c r="E15">
        <f>TL!C35</f>
        <v>3600</v>
      </c>
      <c r="F15">
        <f>$C$8*D15^2/$F$9*EXP(-$F$9/($C$8*D15))*(1-2*$C$8*D15/$F$9)</f>
        <v>6.6527606792331423E-15</v>
      </c>
      <c r="G15" s="17">
        <f>$C$8*D15^2/$G$9*EXP(-$G$9/($C$8*D15))*(1-2*$C$8*D15/$G$9)</f>
        <v>1.9014370045387499E-19</v>
      </c>
      <c r="H15" s="17">
        <f>$C$8*D15^2/$H$9*EXP(-$H$9/($C$8*D15))*(1-2*$C$8*D15/$H$9)</f>
        <v>4.1798838345723066E-21</v>
      </c>
      <c r="I15" s="17">
        <f>$C$8*D15^2/$I$9*EXP(-$I$9/($C$8*D15))*(1-2*$C$8*D15/$I$9)</f>
        <v>1.6427936728383633E-25</v>
      </c>
      <c r="J15" s="17">
        <f>$C$8*D15^2/$J$9*EXP(-$J$9/($C$8*D15))*(1-2*$C$8*D15/$J$9)</f>
        <v>2.4033595978195837E-34</v>
      </c>
      <c r="K15" s="17">
        <f>$C$8*D15^2/$K$9*EXP(-$K$9/($C$8*D15))*(1-2*$C$8*D15/$K$9)</f>
        <v>5.2140172273764245E-27</v>
      </c>
      <c r="L15" s="17">
        <f>$C$8*D15^2/$L$9*EXP(-$L$9/($C$8*D15))*(1-2*$C$8*D15/$L$9)</f>
        <v>1.3776057044611052E-35</v>
      </c>
      <c r="M15" s="17">
        <f>$C$8*D15^2/$M$9*EXP(-$M$9/($C$8*D15))*(1-2*$C$8*D15/$M$9)</f>
        <v>3.6760787625794076E-37</v>
      </c>
      <c r="N15" s="17">
        <f>$C$8*D15^2/$N$9*EXP(-$N$9/($C$8*D15))*(1-2*$C$8*D15/$N$9)</f>
        <v>5.2873691788386519E-4</v>
      </c>
      <c r="O15" s="17">
        <f>$C$8*D15^2/$O$9*EXP(-$O$9/($C$8*D15))*(1-2*$C$8*D15/$O$9)</f>
        <v>1.0006175010264249E-25</v>
      </c>
    </row>
    <row r="16" spans="2:15" x14ac:dyDescent="0.3">
      <c r="D16" s="17">
        <f>TL!D36</f>
        <v>325</v>
      </c>
      <c r="E16" s="17">
        <f>TL!C36</f>
        <v>6502</v>
      </c>
      <c r="F16" s="17">
        <f t="shared" ref="F16:F79" si="1">$C$8*D16^2/$F$9*EXP(-$F$9/($C$8*D16))*(1-2*$C$8*D16/$F$9)</f>
        <v>7.4493815978626966E-15</v>
      </c>
      <c r="G16" s="17">
        <f t="shared" ref="G16:G79" si="2">$C$8*D16^2/$G$9*EXP(-$G$9/($C$8*D16))*(1-2*$C$8*D16/$G$9)</f>
        <v>2.1972293423125478E-19</v>
      </c>
      <c r="H16" s="17">
        <f t="shared" ref="H16:H79" si="3">$C$8*D16^2/$H$9*EXP(-$H$9/($C$8*D16))*(1-2*$C$8*D16/$H$9)</f>
        <v>4.886096524162574E-21</v>
      </c>
      <c r="I16" s="17">
        <f t="shared" ref="I16:I79" si="4">$C$8*D16^2/$I$9*EXP(-$I$9/($C$8*D16))*(1-2*$C$8*D16/$I$9)</f>
        <v>1.9801941874575986E-25</v>
      </c>
      <c r="J16" s="17">
        <f t="shared" ref="J16:J79" si="5">$C$8*D16^2/$J$9*EXP(-$J$9/($C$8*D16))*(1-2*$C$8*D16/$J$9)</f>
        <v>3.081478432884513E-34</v>
      </c>
      <c r="K16" s="17">
        <f t="shared" ref="K16:K79" si="6">$C$8*D16^2/$K$9*EXP(-$K$9/($C$8*D16))*(1-2*$C$8*D16/$K$9)</f>
        <v>6.3509377034703339E-27</v>
      </c>
      <c r="L16" s="17">
        <f t="shared" ref="L16:L79" si="7">$C$8*D16^2/$L$9*EXP(-$L$9/($C$8*D16))*(1-2*$C$8*D16/$L$9)</f>
        <v>1.7817274988153573E-35</v>
      </c>
      <c r="M16" s="17">
        <f t="shared" ref="M16:M79" si="8">$C$8*D16^2/$M$9*EXP(-$M$9/($C$8*D16))*(1-2*$C$8*D16/$M$9)</f>
        <v>4.8071636491848163E-37</v>
      </c>
      <c r="N16" s="17">
        <f t="shared" ref="N16:N79" si="9">$C$8*D16^2/$N$9*EXP(-$N$9/($C$8*D16))*(1-2*$C$8*D16/$N$9)</f>
        <v>5.4950112043153777E-4</v>
      </c>
      <c r="O16" s="17">
        <f t="shared" ref="O16:O79" si="10">$C$8*D16^2/$O$9*EXP(-$O$9/($C$8*D16))*(1-2*$C$8*D16/$O$9)</f>
        <v>1.2079392728830631E-25</v>
      </c>
    </row>
    <row r="17" spans="4:15" x14ac:dyDescent="0.3">
      <c r="D17" s="17">
        <f>TL!D37</f>
        <v>326</v>
      </c>
      <c r="E17" s="17">
        <f>TL!C37</f>
        <v>9346</v>
      </c>
      <c r="F17" s="17">
        <f t="shared" si="1"/>
        <v>8.3357539111284465E-15</v>
      </c>
      <c r="G17" s="17">
        <f t="shared" si="2"/>
        <v>2.5368302609337751E-19</v>
      </c>
      <c r="H17" s="17">
        <f t="shared" si="3"/>
        <v>5.7062628566789031E-21</v>
      </c>
      <c r="I17" s="17">
        <f t="shared" si="4"/>
        <v>2.3842003446746027E-25</v>
      </c>
      <c r="J17" s="17">
        <f t="shared" si="5"/>
        <v>3.9449842992936368E-34</v>
      </c>
      <c r="K17" s="17">
        <f t="shared" si="6"/>
        <v>7.726549819984155E-27</v>
      </c>
      <c r="L17" s="17">
        <f t="shared" si="7"/>
        <v>2.3008072956632138E-35</v>
      </c>
      <c r="M17" s="17">
        <f t="shared" si="8"/>
        <v>6.276047979361221E-37</v>
      </c>
      <c r="N17" s="17">
        <f t="shared" si="9"/>
        <v>5.7095383977625951E-4</v>
      </c>
      <c r="O17" s="17">
        <f t="shared" si="10"/>
        <v>1.4565597830869554E-25</v>
      </c>
    </row>
    <row r="18" spans="4:15" x14ac:dyDescent="0.3">
      <c r="D18" s="17">
        <f>TL!D38</f>
        <v>328</v>
      </c>
      <c r="E18" s="17">
        <f>TL!C38</f>
        <v>11780</v>
      </c>
      <c r="F18" s="17">
        <f t="shared" si="1"/>
        <v>1.0416549465462691E-14</v>
      </c>
      <c r="G18" s="17">
        <f t="shared" si="2"/>
        <v>3.3729109099734796E-19</v>
      </c>
      <c r="H18" s="17">
        <f t="shared" si="3"/>
        <v>7.7610730305365383E-21</v>
      </c>
      <c r="I18" s="17">
        <f>$C$8*D18^2/$I$9*EXP(-$I$9/($C$8*D18))*(1-2*$C$8*D18/$I$9)</f>
        <v>3.4447769888392089E-25</v>
      </c>
      <c r="J18" s="17">
        <f t="shared" si="5"/>
        <v>6.436928993302556E-34</v>
      </c>
      <c r="K18" s="17">
        <f t="shared" si="6"/>
        <v>1.1395858721785994E-26</v>
      </c>
      <c r="L18" s="17">
        <f t="shared" si="7"/>
        <v>3.8190090888132481E-35</v>
      </c>
      <c r="M18" s="17">
        <f t="shared" si="8"/>
        <v>1.06459998310279E-36</v>
      </c>
      <c r="N18" s="17">
        <f t="shared" si="9"/>
        <v>6.1599850452061353E-4</v>
      </c>
      <c r="O18" s="17">
        <f t="shared" si="10"/>
        <v>2.1107234009901382E-25</v>
      </c>
    </row>
    <row r="19" spans="4:15" x14ac:dyDescent="0.3">
      <c r="D19" s="17">
        <f>TL!D39</f>
        <v>330</v>
      </c>
      <c r="E19" s="17">
        <f>TL!C39</f>
        <v>13538</v>
      </c>
      <c r="F19" s="17">
        <f t="shared" si="1"/>
        <v>1.2982545494857141E-14</v>
      </c>
      <c r="G19" s="17">
        <f t="shared" si="2"/>
        <v>4.4694010410982468E-19</v>
      </c>
      <c r="H19" s="17">
        <f t="shared" si="3"/>
        <v>1.0517279489705643E-20</v>
      </c>
      <c r="I19" s="17">
        <f t="shared" si="4"/>
        <v>4.9553372449591346E-25</v>
      </c>
      <c r="J19" s="17">
        <f t="shared" si="5"/>
        <v>1.0441575277484951E-33</v>
      </c>
      <c r="K19" s="17">
        <f t="shared" si="6"/>
        <v>1.6729921761883464E-26</v>
      </c>
      <c r="L19" s="17">
        <f t="shared" si="7"/>
        <v>6.3006432422679441E-35</v>
      </c>
      <c r="M19" s="17">
        <f t="shared" si="8"/>
        <v>1.7944697524053224E-36</v>
      </c>
      <c r="N19" s="17">
        <f t="shared" si="9"/>
        <v>6.6402183055156133E-4</v>
      </c>
      <c r="O19" s="17">
        <f t="shared" si="10"/>
        <v>3.0451768144019216E-25</v>
      </c>
    </row>
    <row r="20" spans="4:15" x14ac:dyDescent="0.3">
      <c r="D20" s="17">
        <f>TL!D40</f>
        <v>331</v>
      </c>
      <c r="E20" s="17">
        <f>TL!C40</f>
        <v>14804</v>
      </c>
      <c r="F20" s="17">
        <f t="shared" si="1"/>
        <v>1.4479568492874665E-14</v>
      </c>
      <c r="G20" s="17">
        <f t="shared" si="2"/>
        <v>5.1384121665934071E-19</v>
      </c>
      <c r="H20" s="17">
        <f t="shared" si="3"/>
        <v>1.2226651748939342E-20</v>
      </c>
      <c r="I20" s="17">
        <f t="shared" si="4"/>
        <v>5.9336941799992923E-25</v>
      </c>
      <c r="J20" s="17">
        <f t="shared" si="5"/>
        <v>1.3269948535382874E-33</v>
      </c>
      <c r="K20" s="17">
        <f t="shared" si="6"/>
        <v>2.0235932178727491E-26</v>
      </c>
      <c r="L20" s="17">
        <f t="shared" si="7"/>
        <v>8.0747348020542438E-35</v>
      </c>
      <c r="M20" s="17">
        <f t="shared" si="8"/>
        <v>2.3243154211608028E-36</v>
      </c>
      <c r="N20" s="17">
        <f t="shared" si="9"/>
        <v>6.8919923343073182E-4</v>
      </c>
      <c r="O20" s="17">
        <f t="shared" si="10"/>
        <v>3.651684531731976E-25</v>
      </c>
    </row>
    <row r="21" spans="4:15" x14ac:dyDescent="0.3">
      <c r="D21" s="17">
        <f>TL!D41</f>
        <v>333</v>
      </c>
      <c r="E21" s="17">
        <f>TL!C41</f>
        <v>15834</v>
      </c>
      <c r="F21" s="17">
        <f t="shared" si="1"/>
        <v>1.7976919423998905E-14</v>
      </c>
      <c r="G21" s="17">
        <f t="shared" si="2"/>
        <v>6.7751529294640777E-19</v>
      </c>
      <c r="H21" s="17">
        <f t="shared" si="3"/>
        <v>1.6480102367006204E-20</v>
      </c>
      <c r="I21" s="17">
        <f t="shared" si="4"/>
        <v>8.4808981842853478E-25</v>
      </c>
      <c r="J21" s="17">
        <f t="shared" si="5"/>
        <v>2.1341400394115685E-33</v>
      </c>
      <c r="K21" s="17">
        <f t="shared" si="6"/>
        <v>2.9506371695423221E-26</v>
      </c>
      <c r="L21" s="17">
        <f t="shared" si="7"/>
        <v>1.3203732112432362E-34</v>
      </c>
      <c r="M21" s="17">
        <f t="shared" si="8"/>
        <v>3.8816060000308238E-36</v>
      </c>
      <c r="N21" s="17">
        <f t="shared" si="9"/>
        <v>7.4198621978099281E-4</v>
      </c>
      <c r="O21" s="17">
        <f t="shared" si="10"/>
        <v>5.2342710646800641E-25</v>
      </c>
    </row>
    <row r="22" spans="4:15" x14ac:dyDescent="0.3">
      <c r="D22" s="17">
        <f>TL!D42</f>
        <v>334</v>
      </c>
      <c r="E22" s="17">
        <f>TL!C42</f>
        <v>16692</v>
      </c>
      <c r="F22" s="17">
        <f t="shared" si="1"/>
        <v>2.0011704969134628E-14</v>
      </c>
      <c r="G22" s="17">
        <f t="shared" si="2"/>
        <v>7.7702682236840985E-19</v>
      </c>
      <c r="H22" s="17">
        <f t="shared" si="3"/>
        <v>1.9107990406722145E-20</v>
      </c>
      <c r="I22" s="17">
        <f t="shared" si="4"/>
        <v>1.0123130983518238E-24</v>
      </c>
      <c r="J22" s="17">
        <f t="shared" si="5"/>
        <v>2.7007502285655523E-33</v>
      </c>
      <c r="K22" s="17">
        <f t="shared" si="6"/>
        <v>3.5570324634163661E-26</v>
      </c>
      <c r="L22" s="17">
        <f t="shared" si="7"/>
        <v>1.684741223490237E-34</v>
      </c>
      <c r="M22" s="17">
        <f t="shared" si="8"/>
        <v>5.0047323141211874E-36</v>
      </c>
      <c r="N22" s="17">
        <f t="shared" si="9"/>
        <v>7.6963720391632056E-4</v>
      </c>
      <c r="O22" s="17">
        <f t="shared" si="10"/>
        <v>6.2567205309278118E-25</v>
      </c>
    </row>
    <row r="23" spans="4:15" x14ac:dyDescent="0.3">
      <c r="D23" s="17">
        <f>TL!D43</f>
        <v>335</v>
      </c>
      <c r="E23" s="17">
        <f>TL!C43</f>
        <v>17329</v>
      </c>
      <c r="F23" s="17">
        <f t="shared" si="1"/>
        <v>2.226292110219786E-14</v>
      </c>
      <c r="G23" s="17">
        <f t="shared" si="2"/>
        <v>8.9044064433784397E-19</v>
      </c>
      <c r="H23" s="17">
        <f t="shared" si="3"/>
        <v>2.2135733842282254E-20</v>
      </c>
      <c r="I23" s="17">
        <f t="shared" si="4"/>
        <v>1.2070809475726851E-24</v>
      </c>
      <c r="J23" s="17">
        <f t="shared" si="5"/>
        <v>3.4130524650148469E-33</v>
      </c>
      <c r="K23" s="17">
        <f t="shared" si="6"/>
        <v>4.2833418008734427E-26</v>
      </c>
      <c r="L23" s="17">
        <f t="shared" si="7"/>
        <v>2.1465717041905916E-34</v>
      </c>
      <c r="M23" s="17">
        <f t="shared" si="8"/>
        <v>6.4431598016452506E-36</v>
      </c>
      <c r="N23" s="17">
        <f t="shared" si="9"/>
        <v>7.9815474653710387E-4</v>
      </c>
      <c r="O23" s="17">
        <f t="shared" si="10"/>
        <v>7.4710587538664E-25</v>
      </c>
    </row>
    <row r="24" spans="4:15" x14ac:dyDescent="0.3">
      <c r="D24" s="17">
        <f>TL!D44</f>
        <v>337</v>
      </c>
      <c r="E24" s="17">
        <f>TL!C44</f>
        <v>17987</v>
      </c>
      <c r="F24" s="17">
        <f t="shared" si="1"/>
        <v>2.7502711661511868E-14</v>
      </c>
      <c r="G24" s="17">
        <f t="shared" si="2"/>
        <v>1.1665715263602169E-18</v>
      </c>
      <c r="H24" s="17">
        <f t="shared" si="3"/>
        <v>2.9630327216232985E-20</v>
      </c>
      <c r="I24" s="17">
        <f t="shared" si="4"/>
        <v>1.7109647136301335E-24</v>
      </c>
      <c r="J24" s="17">
        <f t="shared" si="5"/>
        <v>5.4284086437007971E-33</v>
      </c>
      <c r="K24" s="17">
        <f t="shared" si="6"/>
        <v>6.1909612041246899E-26</v>
      </c>
      <c r="L24" s="17">
        <f t="shared" si="7"/>
        <v>3.4699165633192993E-34</v>
      </c>
      <c r="M24" s="17">
        <f t="shared" si="8"/>
        <v>1.063173250770745E-35</v>
      </c>
      <c r="N24" s="17">
        <f t="shared" si="9"/>
        <v>8.5787650113179311E-4</v>
      </c>
      <c r="O24" s="17">
        <f t="shared" si="10"/>
        <v>1.0619488528309649E-24</v>
      </c>
    </row>
    <row r="25" spans="4:15" x14ac:dyDescent="0.3">
      <c r="D25" s="17">
        <f>TL!D45</f>
        <v>339</v>
      </c>
      <c r="E25" s="17">
        <f>TL!C45</f>
        <v>17798</v>
      </c>
      <c r="F25" s="17">
        <f t="shared" si="1"/>
        <v>3.3893326458669834E-14</v>
      </c>
      <c r="G25" s="17">
        <f t="shared" si="2"/>
        <v>1.5235703983410111E-18</v>
      </c>
      <c r="H25" s="17">
        <f t="shared" si="3"/>
        <v>3.9528805509058546E-20</v>
      </c>
      <c r="I25" s="17">
        <f t="shared" si="4"/>
        <v>2.4153903128735281E-24</v>
      </c>
      <c r="J25" s="17">
        <f t="shared" si="5"/>
        <v>8.5872429237965337E-33</v>
      </c>
      <c r="K25" s="17">
        <f t="shared" si="6"/>
        <v>8.9099477914185645E-26</v>
      </c>
      <c r="L25" s="17">
        <f t="shared" si="7"/>
        <v>5.5777779913935563E-34</v>
      </c>
      <c r="M25" s="17">
        <f t="shared" si="8"/>
        <v>1.7441040441968911E-35</v>
      </c>
      <c r="N25" s="17">
        <f t="shared" si="9"/>
        <v>9.2132936128405999E-4</v>
      </c>
      <c r="O25" s="17">
        <f t="shared" si="10"/>
        <v>1.503323029254435E-24</v>
      </c>
    </row>
    <row r="26" spans="4:15" x14ac:dyDescent="0.3">
      <c r="D26" s="17">
        <f>TL!D46</f>
        <v>340</v>
      </c>
      <c r="E26" s="17">
        <f>TL!C46</f>
        <v>17408</v>
      </c>
      <c r="F26" s="17">
        <f t="shared" si="1"/>
        <v>3.7591857494108974E-14</v>
      </c>
      <c r="G26" s="17">
        <f t="shared" si="2"/>
        <v>1.7391510558457091E-18</v>
      </c>
      <c r="H26" s="17">
        <f t="shared" si="3"/>
        <v>4.5599581523735275E-20</v>
      </c>
      <c r="I26" s="17">
        <f t="shared" si="4"/>
        <v>2.8655678653346963E-24</v>
      </c>
      <c r="J26" s="17">
        <f t="shared" si="5"/>
        <v>1.0778953994340278E-32</v>
      </c>
      <c r="K26" s="17">
        <f t="shared" si="6"/>
        <v>1.0672029978498416E-25</v>
      </c>
      <c r="L26" s="17">
        <f t="shared" si="7"/>
        <v>7.057223690963981E-34</v>
      </c>
      <c r="M26" s="17">
        <f t="shared" si="8"/>
        <v>2.2290468682621034E-35</v>
      </c>
      <c r="N26" s="17">
        <f t="shared" si="9"/>
        <v>9.5451226273891106E-4</v>
      </c>
      <c r="O26" s="17">
        <f t="shared" si="10"/>
        <v>1.7859595108868316E-24</v>
      </c>
    </row>
    <row r="27" spans="4:15" x14ac:dyDescent="0.3">
      <c r="D27" s="17">
        <f>TL!D47</f>
        <v>342</v>
      </c>
      <c r="E27" s="17">
        <f>TL!C47</f>
        <v>16522</v>
      </c>
      <c r="F27" s="17">
        <f t="shared" si="1"/>
        <v>4.6162014769596025E-14</v>
      </c>
      <c r="G27" s="17">
        <f t="shared" si="2"/>
        <v>2.2609960201645949E-18</v>
      </c>
      <c r="H27" s="17">
        <f t="shared" si="3"/>
        <v>6.0532414854198561E-20</v>
      </c>
      <c r="I27" s="17">
        <f t="shared" si="4"/>
        <v>4.0213959095889319E-24</v>
      </c>
      <c r="J27" s="17">
        <f t="shared" si="5"/>
        <v>1.6916563493267649E-32</v>
      </c>
      <c r="K27" s="17">
        <f t="shared" si="6"/>
        <v>1.5262913267538559E-25</v>
      </c>
      <c r="L27" s="17">
        <f t="shared" si="7"/>
        <v>1.1251449802449022E-33</v>
      </c>
      <c r="M27" s="17">
        <f t="shared" si="8"/>
        <v>3.6254790030065322E-35</v>
      </c>
      <c r="N27" s="17">
        <f t="shared" si="9"/>
        <v>1.0239091159273649E-3</v>
      </c>
      <c r="O27" s="17">
        <f t="shared" si="10"/>
        <v>2.5131541948929478E-24</v>
      </c>
    </row>
    <row r="28" spans="4:15" x14ac:dyDescent="0.3">
      <c r="D28" s="17">
        <f>TL!D48</f>
        <v>343</v>
      </c>
      <c r="E28" s="17">
        <f>TL!C48</f>
        <v>15144</v>
      </c>
      <c r="F28" s="17">
        <f t="shared" si="1"/>
        <v>5.1109375002859382E-14</v>
      </c>
      <c r="G28" s="17">
        <f t="shared" si="2"/>
        <v>2.5750948134599137E-18</v>
      </c>
      <c r="H28" s="17">
        <f t="shared" si="3"/>
        <v>6.9658505950907034E-20</v>
      </c>
      <c r="I28" s="17">
        <f t="shared" si="4"/>
        <v>4.756932739429056E-24</v>
      </c>
      <c r="J28" s="17">
        <f t="shared" si="5"/>
        <v>2.1151186123534516E-32</v>
      </c>
      <c r="K28" s="17">
        <f t="shared" si="6"/>
        <v>1.8224843450899622E-25</v>
      </c>
      <c r="L28" s="17">
        <f t="shared" si="7"/>
        <v>1.4178187413779656E-33</v>
      </c>
      <c r="M28" s="17">
        <f t="shared" si="8"/>
        <v>4.6139778570954833E-35</v>
      </c>
      <c r="N28" s="17">
        <f t="shared" si="9"/>
        <v>1.0601715247928018E-3</v>
      </c>
      <c r="O28" s="17">
        <f t="shared" si="10"/>
        <v>2.9768355834496387E-24</v>
      </c>
    </row>
    <row r="29" spans="4:15" x14ac:dyDescent="0.3">
      <c r="D29" s="17">
        <f>TL!D49</f>
        <v>345</v>
      </c>
      <c r="E29" s="17">
        <f>TL!C49</f>
        <v>13671</v>
      </c>
      <c r="F29" s="17">
        <f t="shared" si="1"/>
        <v>6.2543726702836446E-14</v>
      </c>
      <c r="G29" s="17">
        <f t="shared" si="2"/>
        <v>3.3328707199601226E-18</v>
      </c>
      <c r="H29" s="17">
        <f t="shared" si="3"/>
        <v>9.2025209478097663E-20</v>
      </c>
      <c r="I29" s="17">
        <f t="shared" si="4"/>
        <v>6.6371224476139594E-24</v>
      </c>
      <c r="J29" s="17">
        <f t="shared" si="5"/>
        <v>3.293926678434023E-32</v>
      </c>
      <c r="K29" s="17">
        <f t="shared" si="6"/>
        <v>2.5905869063555064E-25</v>
      </c>
      <c r="L29" s="17">
        <f t="shared" si="7"/>
        <v>2.2424370974804984E-33</v>
      </c>
      <c r="M29" s="17">
        <f t="shared" si="8"/>
        <v>7.4421105091023045E-35</v>
      </c>
      <c r="N29" s="17">
        <f t="shared" si="9"/>
        <v>1.1359485251167898E-3</v>
      </c>
      <c r="O29" s="17">
        <f t="shared" si="10"/>
        <v>4.1645545903998108E-24</v>
      </c>
    </row>
    <row r="30" spans="4:15" x14ac:dyDescent="0.3">
      <c r="D30" s="17">
        <f>TL!D50</f>
        <v>346</v>
      </c>
      <c r="E30" s="17">
        <f>TL!C50</f>
        <v>11888</v>
      </c>
      <c r="F30" s="17">
        <f t="shared" si="1"/>
        <v>6.9128225616189908E-14</v>
      </c>
      <c r="G30" s="17">
        <f t="shared" si="2"/>
        <v>3.7875275576153611E-18</v>
      </c>
      <c r="H30" s="17">
        <f t="shared" si="3"/>
        <v>1.056475148144296E-19</v>
      </c>
      <c r="I30" s="17">
        <f t="shared" si="4"/>
        <v>7.8286997829224972E-24</v>
      </c>
      <c r="J30" s="17">
        <f t="shared" si="5"/>
        <v>4.1027979714632551E-32</v>
      </c>
      <c r="K30" s="17">
        <f t="shared" si="6"/>
        <v>3.0839954868971522E-25</v>
      </c>
      <c r="L30" s="17">
        <f t="shared" si="7"/>
        <v>2.8146054772088225E-33</v>
      </c>
      <c r="M30" s="17">
        <f t="shared" si="8"/>
        <v>9.4322862350417773E-35</v>
      </c>
      <c r="N30" s="17">
        <f t="shared" si="9"/>
        <v>1.1755140476582826E-3</v>
      </c>
      <c r="O30" s="17">
        <f t="shared" si="10"/>
        <v>4.9187390746696458E-24</v>
      </c>
    </row>
    <row r="31" spans="4:15" x14ac:dyDescent="0.3">
      <c r="D31" s="17">
        <f>TL!D51</f>
        <v>348</v>
      </c>
      <c r="E31" s="17">
        <f>TL!C51</f>
        <v>10089</v>
      </c>
      <c r="F31" s="17">
        <f t="shared" si="1"/>
        <v>8.4308112487108667E-14</v>
      </c>
      <c r="G31" s="17">
        <f t="shared" si="2"/>
        <v>4.8808273328698069E-18</v>
      </c>
      <c r="H31" s="17">
        <f t="shared" si="3"/>
        <v>1.3891564835022566E-19</v>
      </c>
      <c r="I31" s="17">
        <f t="shared" si="4"/>
        <v>1.0861596605122019E-23</v>
      </c>
      <c r="J31" s="17">
        <f t="shared" si="5"/>
        <v>6.3414606961918602E-32</v>
      </c>
      <c r="K31" s="17">
        <f t="shared" si="6"/>
        <v>4.3577294617946082E-25</v>
      </c>
      <c r="L31" s="17">
        <f t="shared" si="7"/>
        <v>4.417040695587672E-33</v>
      </c>
      <c r="M31" s="17">
        <f t="shared" si="8"/>
        <v>1.5090556111985728E-34</v>
      </c>
      <c r="N31" s="17">
        <f t="shared" si="9"/>
        <v>1.2581296136407016E-3</v>
      </c>
      <c r="O31" s="17">
        <f t="shared" si="10"/>
        <v>6.8422468000266292E-24</v>
      </c>
    </row>
    <row r="32" spans="4:15" x14ac:dyDescent="0.3">
      <c r="D32" s="17">
        <f>TL!D52</f>
        <v>349</v>
      </c>
      <c r="E32" s="17">
        <f>TL!C52</f>
        <v>8598</v>
      </c>
      <c r="F32" s="17">
        <f t="shared" si="1"/>
        <v>9.3028454697007755E-14</v>
      </c>
      <c r="G32" s="17">
        <f t="shared" si="2"/>
        <v>5.534763669706753E-18</v>
      </c>
      <c r="H32" s="17">
        <f t="shared" si="3"/>
        <v>1.5910958693327202E-19</v>
      </c>
      <c r="I32" s="17">
        <f t="shared" si="4"/>
        <v>1.2775997415553435E-23</v>
      </c>
      <c r="J32" s="17">
        <f t="shared" si="5"/>
        <v>7.8693984323430356E-32</v>
      </c>
      <c r="K32" s="17">
        <f t="shared" si="6"/>
        <v>5.1724767605743408E-25</v>
      </c>
      <c r="L32" s="17">
        <f t="shared" si="7"/>
        <v>5.5227782208448752E-33</v>
      </c>
      <c r="M32" s="17">
        <f t="shared" si="8"/>
        <v>1.9049459936269858E-34</v>
      </c>
      <c r="N32" s="17">
        <f t="shared" si="9"/>
        <v>1.3012331202739078E-3</v>
      </c>
      <c r="O32" s="17">
        <f t="shared" si="10"/>
        <v>8.0587083936015126E-24</v>
      </c>
    </row>
    <row r="33" spans="4:15" x14ac:dyDescent="0.3">
      <c r="D33" s="17">
        <f>TL!D53</f>
        <v>351</v>
      </c>
      <c r="E33" s="17">
        <f>TL!C53</f>
        <v>7340</v>
      </c>
      <c r="F33" s="17">
        <f t="shared" si="1"/>
        <v>1.1308311985719521E-13</v>
      </c>
      <c r="G33" s="17">
        <f t="shared" si="2"/>
        <v>7.1022684351072145E-18</v>
      </c>
      <c r="H33" s="17">
        <f t="shared" si="3"/>
        <v>2.0825687163255164E-19</v>
      </c>
      <c r="I33" s="17">
        <f t="shared" si="4"/>
        <v>1.7628379272999158E-23</v>
      </c>
      <c r="J33" s="17">
        <f t="shared" si="5"/>
        <v>1.2074357661034895E-31</v>
      </c>
      <c r="K33" s="17">
        <f t="shared" si="6"/>
        <v>7.266464218595389E-25</v>
      </c>
      <c r="L33" s="17">
        <f t="shared" si="7"/>
        <v>8.601458710055068E-33</v>
      </c>
      <c r="M33" s="17">
        <f t="shared" si="8"/>
        <v>3.0236302241633681E-34</v>
      </c>
      <c r="N33" s="17">
        <f t="shared" si="9"/>
        <v>1.3911684582085856E-3</v>
      </c>
      <c r="O33" s="17">
        <f t="shared" si="10"/>
        <v>1.1148192792466945E-23</v>
      </c>
    </row>
    <row r="34" spans="4:15" x14ac:dyDescent="0.3">
      <c r="D34" s="17">
        <f>TL!D54</f>
        <v>352</v>
      </c>
      <c r="E34" s="17">
        <f>TL!C54</f>
        <v>6480</v>
      </c>
      <c r="F34" s="17">
        <f t="shared" si="1"/>
        <v>1.2457684121929083E-13</v>
      </c>
      <c r="G34" s="17">
        <f t="shared" si="2"/>
        <v>8.0370115974927981E-18</v>
      </c>
      <c r="H34" s="17">
        <f t="shared" si="3"/>
        <v>2.3799220010447031E-19</v>
      </c>
      <c r="I34" s="17">
        <f t="shared" si="4"/>
        <v>2.0679284167707579E-23</v>
      </c>
      <c r="J34" s="17">
        <f t="shared" si="5"/>
        <v>1.4929431022255078E-31</v>
      </c>
      <c r="K34" s="17">
        <f t="shared" si="6"/>
        <v>8.6003578158319966E-25</v>
      </c>
      <c r="L34" s="17">
        <f t="shared" si="7"/>
        <v>1.0714444936209356E-32</v>
      </c>
      <c r="M34" s="17">
        <f t="shared" si="8"/>
        <v>3.8019546647126619E-34</v>
      </c>
      <c r="N34" s="17">
        <f t="shared" si="9"/>
        <v>1.4380563411505165E-3</v>
      </c>
      <c r="O34" s="17">
        <f t="shared" si="10"/>
        <v>1.3094337796210754E-23</v>
      </c>
    </row>
    <row r="35" spans="4:15" x14ac:dyDescent="0.3">
      <c r="D35" s="17">
        <f>TL!D55</f>
        <v>354</v>
      </c>
      <c r="E35" s="17">
        <f>TL!C55</f>
        <v>5894</v>
      </c>
      <c r="F35" s="17">
        <f t="shared" si="1"/>
        <v>1.5094658762180293E-13</v>
      </c>
      <c r="G35" s="17">
        <f t="shared" si="2"/>
        <v>1.0270682339773232E-17</v>
      </c>
      <c r="H35" s="17">
        <f t="shared" si="3"/>
        <v>3.1011798604027367E-19</v>
      </c>
      <c r="I35" s="17">
        <f t="shared" si="4"/>
        <v>2.8380944034436557E-23</v>
      </c>
      <c r="J35" s="17">
        <f t="shared" si="5"/>
        <v>2.2743621976445095E-31</v>
      </c>
      <c r="K35" s="17">
        <f t="shared" si="6"/>
        <v>1.2013867477303042E-24</v>
      </c>
      <c r="L35" s="17">
        <f t="shared" si="7"/>
        <v>1.6564114283759431E-32</v>
      </c>
      <c r="M35" s="17">
        <f t="shared" si="8"/>
        <v>5.9882195046874027E-34</v>
      </c>
      <c r="N35" s="17">
        <f t="shared" si="9"/>
        <v>1.5358159520787178E-3</v>
      </c>
      <c r="O35" s="17">
        <f t="shared" si="10"/>
        <v>1.8016788027899197E-23</v>
      </c>
    </row>
    <row r="36" spans="4:15" x14ac:dyDescent="0.3">
      <c r="D36" s="17">
        <f>TL!D56</f>
        <v>355</v>
      </c>
      <c r="E36" s="17">
        <f>TL!C56</f>
        <v>5764</v>
      </c>
      <c r="F36" s="17">
        <f t="shared" si="1"/>
        <v>1.6602504885749403E-13</v>
      </c>
      <c r="G36" s="17">
        <f t="shared" si="2"/>
        <v>1.1598757367050873E-17</v>
      </c>
      <c r="H36" s="17">
        <f t="shared" si="3"/>
        <v>3.536170410416603E-19</v>
      </c>
      <c r="I36" s="17">
        <f t="shared" si="4"/>
        <v>3.3204850179507957E-23</v>
      </c>
      <c r="J36" s="17">
        <f t="shared" si="5"/>
        <v>2.8022406451338974E-31</v>
      </c>
      <c r="K36" s="17">
        <f t="shared" si="6"/>
        <v>1.4179555248152928E-24</v>
      </c>
      <c r="L36" s="17">
        <f t="shared" si="7"/>
        <v>2.055787147065702E-32</v>
      </c>
      <c r="M36" s="17">
        <f t="shared" si="8"/>
        <v>7.5010071271152799E-34</v>
      </c>
      <c r="N36" s="17">
        <f t="shared" si="9"/>
        <v>1.5867463745635377E-3</v>
      </c>
      <c r="O36" s="17">
        <f t="shared" si="10"/>
        <v>2.1105645933987748E-23</v>
      </c>
    </row>
    <row r="37" spans="4:15" x14ac:dyDescent="0.3">
      <c r="D37" s="17">
        <f>TL!D57</f>
        <v>356</v>
      </c>
      <c r="E37" s="17">
        <f>TL!C57</f>
        <v>6004</v>
      </c>
      <c r="F37" s="17">
        <f t="shared" si="1"/>
        <v>1.8251477374383953E-13</v>
      </c>
      <c r="G37" s="17">
        <f t="shared" si="2"/>
        <v>1.3089813072459758E-17</v>
      </c>
      <c r="H37" s="17">
        <f t="shared" si="3"/>
        <v>4.0292637707107979E-19</v>
      </c>
      <c r="I37" s="17">
        <f t="shared" si="4"/>
        <v>3.8815019643435268E-23</v>
      </c>
      <c r="J37" s="17">
        <f t="shared" si="5"/>
        <v>3.4486463043280282E-31</v>
      </c>
      <c r="K37" s="17">
        <f t="shared" si="6"/>
        <v>1.6720321254414218E-24</v>
      </c>
      <c r="L37" s="17">
        <f t="shared" si="7"/>
        <v>2.5484008031974617E-32</v>
      </c>
      <c r="M37" s="17">
        <f t="shared" si="8"/>
        <v>9.3842284711967407E-34</v>
      </c>
      <c r="N37" s="17">
        <f t="shared" si="9"/>
        <v>1.6390837491224728E-3</v>
      </c>
      <c r="O37" s="17">
        <f t="shared" si="10"/>
        <v>2.4702474320998812E-23</v>
      </c>
    </row>
    <row r="38" spans="4:15" x14ac:dyDescent="0.3">
      <c r="D38" s="17">
        <f>TL!D58</f>
        <v>358</v>
      </c>
      <c r="E38" s="17">
        <f>TL!C58</f>
        <v>6384</v>
      </c>
      <c r="F38" s="17">
        <f t="shared" si="1"/>
        <v>2.202300647586308E-13</v>
      </c>
      <c r="G38" s="17">
        <f t="shared" si="2"/>
        <v>1.6638589268382995E-17</v>
      </c>
      <c r="H38" s="17">
        <f t="shared" si="3"/>
        <v>5.2201142752461581E-19</v>
      </c>
      <c r="I38" s="17">
        <f t="shared" si="4"/>
        <v>5.2902928461772352E-23</v>
      </c>
      <c r="J38" s="17">
        <f t="shared" si="5"/>
        <v>5.2052807761532839E-31</v>
      </c>
      <c r="K38" s="17">
        <f t="shared" si="6"/>
        <v>2.3186147749697191E-24</v>
      </c>
      <c r="L38" s="17">
        <f t="shared" si="7"/>
        <v>3.9021435989123538E-32</v>
      </c>
      <c r="M38" s="17">
        <f t="shared" si="8"/>
        <v>1.4633427689848871E-33</v>
      </c>
      <c r="N38" s="17">
        <f t="shared" si="9"/>
        <v>1.748101680473372E-3</v>
      </c>
      <c r="O38" s="17">
        <f t="shared" si="10"/>
        <v>3.3751906036980728E-23</v>
      </c>
    </row>
    <row r="39" spans="4:15" x14ac:dyDescent="0.3">
      <c r="D39" s="17">
        <f>TL!D59</f>
        <v>360</v>
      </c>
      <c r="E39" s="17">
        <f>TL!C59</f>
        <v>7070</v>
      </c>
      <c r="F39" s="17">
        <f t="shared" si="1"/>
        <v>2.6520018890442412E-13</v>
      </c>
      <c r="G39" s="17">
        <f t="shared" si="2"/>
        <v>2.1094415648801703E-17</v>
      </c>
      <c r="H39" s="17">
        <f t="shared" si="3"/>
        <v>6.7438900030340602E-19</v>
      </c>
      <c r="I39" s="17">
        <f t="shared" si="4"/>
        <v>7.1860672772753409E-23</v>
      </c>
      <c r="J39" s="17">
        <f t="shared" si="5"/>
        <v>7.8213049376555736E-31</v>
      </c>
      <c r="K39" s="17">
        <f t="shared" si="6"/>
        <v>3.2037670210193363E-24</v>
      </c>
      <c r="L39" s="17">
        <f t="shared" si="7"/>
        <v>5.9471515947261915E-32</v>
      </c>
      <c r="M39" s="17">
        <f t="shared" si="8"/>
        <v>2.270784540356435E-33</v>
      </c>
      <c r="N39" s="17">
        <f t="shared" si="9"/>
        <v>1.8631189493113843E-3</v>
      </c>
      <c r="O39" s="17">
        <f t="shared" si="10"/>
        <v>4.5959558174574104E-23</v>
      </c>
    </row>
    <row r="40" spans="4:15" x14ac:dyDescent="0.3">
      <c r="D40" s="17">
        <f>TL!D60</f>
        <v>361</v>
      </c>
      <c r="E40" s="17">
        <f>TL!C60</f>
        <v>7920</v>
      </c>
      <c r="F40" s="17">
        <f t="shared" si="1"/>
        <v>2.9080137868876435E-13</v>
      </c>
      <c r="G40" s="17">
        <f t="shared" si="2"/>
        <v>2.3728719866744598E-17</v>
      </c>
      <c r="H40" s="17">
        <f t="shared" si="3"/>
        <v>7.6572544708187135E-19</v>
      </c>
      <c r="I40" s="17">
        <f t="shared" si="4"/>
        <v>8.3647702060003397E-23</v>
      </c>
      <c r="J40" s="17">
        <f t="shared" si="5"/>
        <v>9.5713173310251718E-31</v>
      </c>
      <c r="K40" s="17">
        <f t="shared" si="6"/>
        <v>3.7609991245862039E-24</v>
      </c>
      <c r="L40" s="17">
        <f t="shared" si="7"/>
        <v>7.3292785608382124E-32</v>
      </c>
      <c r="M40" s="17">
        <f t="shared" si="8"/>
        <v>2.8236294379901422E-33</v>
      </c>
      <c r="N40" s="17">
        <f t="shared" si="9"/>
        <v>1.9229572167855152E-3</v>
      </c>
      <c r="O40" s="17">
        <f t="shared" si="10"/>
        <v>5.3563277476365712E-23</v>
      </c>
    </row>
    <row r="41" spans="4:15" x14ac:dyDescent="0.3">
      <c r="D41" s="17">
        <f>TL!D61</f>
        <v>363</v>
      </c>
      <c r="E41" s="17">
        <f>TL!C61</f>
        <v>9090</v>
      </c>
      <c r="F41" s="17">
        <f t="shared" si="1"/>
        <v>3.4913923370843165E-13</v>
      </c>
      <c r="G41" s="17">
        <f t="shared" si="2"/>
        <v>2.9968292093466914E-17</v>
      </c>
      <c r="H41" s="17">
        <f t="shared" si="3"/>
        <v>9.8515688602626462E-19</v>
      </c>
      <c r="I41" s="17">
        <f t="shared" si="4"/>
        <v>1.1305981231133736E-22</v>
      </c>
      <c r="J41" s="17">
        <f t="shared" si="5"/>
        <v>1.4286522361118846E-30</v>
      </c>
      <c r="K41" s="17">
        <f t="shared" si="6"/>
        <v>5.1695869525238278E-24</v>
      </c>
      <c r="L41" s="17">
        <f t="shared" si="7"/>
        <v>1.1093917455664076E-31</v>
      </c>
      <c r="M41" s="17">
        <f t="shared" si="8"/>
        <v>4.3503721414520825E-33</v>
      </c>
      <c r="N41" s="17">
        <f t="shared" si="9"/>
        <v>2.0474568340899352E-3</v>
      </c>
      <c r="O41" s="17">
        <f t="shared" si="10"/>
        <v>7.2572115585583766E-23</v>
      </c>
    </row>
    <row r="42" spans="4:15" x14ac:dyDescent="0.3">
      <c r="D42" s="17">
        <f>TL!D62</f>
        <v>364</v>
      </c>
      <c r="E42" s="17">
        <f>TL!C62</f>
        <v>10392</v>
      </c>
      <c r="F42" s="17">
        <f t="shared" si="1"/>
        <v>3.822801186816357E-13</v>
      </c>
      <c r="G42" s="17">
        <f t="shared" si="2"/>
        <v>3.3647079034510708E-17</v>
      </c>
      <c r="H42" s="17">
        <f t="shared" si="3"/>
        <v>1.1162975766285565E-18</v>
      </c>
      <c r="I42" s="17">
        <f t="shared" si="4"/>
        <v>1.3128213144798452E-22</v>
      </c>
      <c r="J42" s="17">
        <f t="shared" si="5"/>
        <v>1.7425957893459472E-30</v>
      </c>
      <c r="K42" s="17">
        <f t="shared" si="6"/>
        <v>6.0530231411960998E-24</v>
      </c>
      <c r="L42" s="17">
        <f t="shared" si="7"/>
        <v>1.3625878517826243E-31</v>
      </c>
      <c r="M42" s="17">
        <f t="shared" si="8"/>
        <v>5.3904099684446358E-33</v>
      </c>
      <c r="N42" s="17">
        <f t="shared" si="9"/>
        <v>2.1121851126411984E-3</v>
      </c>
      <c r="O42" s="17">
        <f t="shared" si="10"/>
        <v>8.4369800706680561E-23</v>
      </c>
    </row>
    <row r="43" spans="4:15" x14ac:dyDescent="0.3">
      <c r="D43" s="17">
        <f>TL!D63</f>
        <v>366</v>
      </c>
      <c r="E43" s="17">
        <f>TL!C63</f>
        <v>11978</v>
      </c>
      <c r="F43" s="17">
        <f t="shared" si="1"/>
        <v>4.5763617726419364E-13</v>
      </c>
      <c r="G43" s="17">
        <f t="shared" si="2"/>
        <v>4.2336237193765109E-17</v>
      </c>
      <c r="H43" s="17">
        <f t="shared" si="3"/>
        <v>1.4304015693493738E-18</v>
      </c>
      <c r="I43" s="17">
        <f t="shared" si="4"/>
        <v>1.7658556286500644E-22</v>
      </c>
      <c r="J43" s="17">
        <f t="shared" si="5"/>
        <v>2.5842922475370833E-30</v>
      </c>
      <c r="K43" s="17">
        <f t="shared" si="6"/>
        <v>8.2775323427990303E-24</v>
      </c>
      <c r="L43" s="17">
        <f t="shared" si="7"/>
        <v>2.0487032566128877E-31</v>
      </c>
      <c r="M43" s="17">
        <f t="shared" si="8"/>
        <v>8.2471790353417144E-33</v>
      </c>
      <c r="N43" s="17">
        <f t="shared" si="9"/>
        <v>2.2467694673804612E-3</v>
      </c>
      <c r="O43" s="17">
        <f t="shared" si="10"/>
        <v>1.1375430560708478E-22</v>
      </c>
    </row>
    <row r="44" spans="4:15" x14ac:dyDescent="0.3">
      <c r="D44" s="17">
        <f>TL!D64</f>
        <v>367</v>
      </c>
      <c r="E44" s="17">
        <f>TL!C64</f>
        <v>13642</v>
      </c>
      <c r="F44" s="17">
        <f t="shared" si="1"/>
        <v>5.0035623060307574E-13</v>
      </c>
      <c r="G44" s="17">
        <f t="shared" si="2"/>
        <v>4.7445619736980646E-17</v>
      </c>
      <c r="H44" s="17">
        <f t="shared" si="3"/>
        <v>1.6175812387830116E-18</v>
      </c>
      <c r="I44" s="17">
        <f t="shared" si="4"/>
        <v>2.045563990371139E-22</v>
      </c>
      <c r="J44" s="17">
        <f t="shared" si="5"/>
        <v>3.1421290828802965E-30</v>
      </c>
      <c r="K44" s="17">
        <f t="shared" si="6"/>
        <v>9.6676057603793037E-24</v>
      </c>
      <c r="L44" s="17">
        <f t="shared" si="7"/>
        <v>2.5079672296500302E-31</v>
      </c>
      <c r="M44" s="17">
        <f t="shared" si="8"/>
        <v>1.0183611870441126E-32</v>
      </c>
      <c r="N44" s="17">
        <f t="shared" si="9"/>
        <v>2.3166953115098731E-3</v>
      </c>
      <c r="O44" s="17">
        <f t="shared" si="10"/>
        <v>1.319280462502721E-22</v>
      </c>
    </row>
    <row r="45" spans="4:15" x14ac:dyDescent="0.3">
      <c r="D45" s="17">
        <f>TL!D65</f>
        <v>368</v>
      </c>
      <c r="E45" s="17">
        <f>TL!C65</f>
        <v>15786</v>
      </c>
      <c r="F45" s="17">
        <f t="shared" si="1"/>
        <v>5.4680640961544098E-13</v>
      </c>
      <c r="G45" s="17">
        <f t="shared" si="2"/>
        <v>5.3139460321643734E-17</v>
      </c>
      <c r="H45" s="17">
        <f t="shared" si="3"/>
        <v>1.8280584318362326E-18</v>
      </c>
      <c r="I45" s="17">
        <f t="shared" si="4"/>
        <v>2.3677184604115528E-22</v>
      </c>
      <c r="J45" s="17">
        <f t="shared" si="5"/>
        <v>3.8163776247651073E-30</v>
      </c>
      <c r="K45" s="17">
        <f t="shared" si="6"/>
        <v>1.128175744401603E-23</v>
      </c>
      <c r="L45" s="17">
        <f t="shared" si="7"/>
        <v>3.0668567839858672E-31</v>
      </c>
      <c r="M45" s="17">
        <f t="shared" si="8"/>
        <v>1.2560493447613139E-32</v>
      </c>
      <c r="N45" s="17">
        <f t="shared" si="9"/>
        <v>2.3884242426334165E-3</v>
      </c>
      <c r="O45" s="17">
        <f t="shared" si="10"/>
        <v>1.5288425297570485E-22</v>
      </c>
    </row>
    <row r="46" spans="4:15" x14ac:dyDescent="0.3">
      <c r="D46" s="17">
        <f>TL!D66</f>
        <v>370</v>
      </c>
      <c r="E46" s="17">
        <f>TL!C66</f>
        <v>18110</v>
      </c>
      <c r="F46" s="17">
        <f t="shared" si="1"/>
        <v>6.5213077977474096E-13</v>
      </c>
      <c r="G46" s="17">
        <f t="shared" si="2"/>
        <v>6.653942885240494E-17</v>
      </c>
      <c r="H46" s="17">
        <f t="shared" si="3"/>
        <v>2.3302081152903508E-18</v>
      </c>
      <c r="I46" s="17">
        <f t="shared" si="4"/>
        <v>3.1648444573743415E-22</v>
      </c>
      <c r="J46" s="17">
        <f t="shared" si="5"/>
        <v>5.6124880583533559E-30</v>
      </c>
      <c r="K46" s="17">
        <f t="shared" si="6"/>
        <v>1.5325807529697961E-23</v>
      </c>
      <c r="L46" s="17">
        <f t="shared" si="7"/>
        <v>4.5712871159168108E-31</v>
      </c>
      <c r="M46" s="17">
        <f t="shared" si="8"/>
        <v>1.9043976608231738E-32</v>
      </c>
      <c r="N46" s="17">
        <f t="shared" si="9"/>
        <v>2.5374361829363242E-3</v>
      </c>
      <c r="O46" s="17">
        <f t="shared" si="10"/>
        <v>2.0483024908950365E-22</v>
      </c>
    </row>
    <row r="47" spans="4:15" x14ac:dyDescent="0.3">
      <c r="D47" s="17">
        <f>TL!D67</f>
        <v>372</v>
      </c>
      <c r="E47" s="17">
        <f>TL!C67</f>
        <v>20556</v>
      </c>
      <c r="F47" s="17">
        <f t="shared" si="1"/>
        <v>7.7631256694991082E-13</v>
      </c>
      <c r="G47" s="17">
        <f t="shared" si="2"/>
        <v>8.312175948868834E-17</v>
      </c>
      <c r="H47" s="17">
        <f t="shared" si="3"/>
        <v>2.9627154089439861E-18</v>
      </c>
      <c r="I47" s="17">
        <f t="shared" si="4"/>
        <v>4.2173903795446315E-22</v>
      </c>
      <c r="J47" s="17">
        <f t="shared" si="5"/>
        <v>8.2202093373818649E-30</v>
      </c>
      <c r="K47" s="17">
        <f t="shared" si="6"/>
        <v>2.0752175339581319E-23</v>
      </c>
      <c r="L47" s="17">
        <f t="shared" si="7"/>
        <v>6.784909885558719E-31</v>
      </c>
      <c r="M47" s="17">
        <f t="shared" si="8"/>
        <v>2.8746803250386949E-32</v>
      </c>
      <c r="N47" s="17">
        <f t="shared" si="9"/>
        <v>2.6940997749037923E-3</v>
      </c>
      <c r="O47" s="17">
        <f t="shared" si="10"/>
        <v>2.7357960118570909E-22</v>
      </c>
    </row>
    <row r="48" spans="4:15" x14ac:dyDescent="0.3">
      <c r="D48" s="17">
        <f>TL!D68</f>
        <v>373</v>
      </c>
      <c r="E48" s="17">
        <f>TL!C68</f>
        <v>23678</v>
      </c>
      <c r="F48" s="17">
        <f t="shared" si="1"/>
        <v>8.4643157532725087E-13</v>
      </c>
      <c r="G48" s="17">
        <f t="shared" si="2"/>
        <v>9.2822406136336985E-17</v>
      </c>
      <c r="H48" s="17">
        <f t="shared" si="3"/>
        <v>3.3375444176989869E-18</v>
      </c>
      <c r="I48" s="17">
        <f t="shared" si="4"/>
        <v>4.862919580704756E-22</v>
      </c>
      <c r="J48" s="17">
        <f t="shared" si="5"/>
        <v>9.9332015845702262E-30</v>
      </c>
      <c r="K48" s="17">
        <f t="shared" si="6"/>
        <v>2.4119228130474678E-23</v>
      </c>
      <c r="L48" s="17">
        <f t="shared" si="7"/>
        <v>8.2530846161746926E-31</v>
      </c>
      <c r="M48" s="17">
        <f t="shared" si="8"/>
        <v>3.5261069971956933E-32</v>
      </c>
      <c r="N48" s="17">
        <f t="shared" si="9"/>
        <v>2.7753951018775862E-3</v>
      </c>
      <c r="O48" s="17">
        <f t="shared" si="10"/>
        <v>3.1581450968992164E-22</v>
      </c>
    </row>
    <row r="49" spans="4:15" x14ac:dyDescent="0.3">
      <c r="D49" s="17">
        <f>TL!D69</f>
        <v>375</v>
      </c>
      <c r="E49" s="17">
        <f>TL!C69</f>
        <v>26882</v>
      </c>
      <c r="F49" s="17">
        <f t="shared" si="1"/>
        <v>1.004890400154024E-12</v>
      </c>
      <c r="G49" s="17">
        <f t="shared" si="2"/>
        <v>1.1555256306216492E-16</v>
      </c>
      <c r="H49" s="17">
        <f t="shared" si="3"/>
        <v>4.2275734624987062E-18</v>
      </c>
      <c r="I49" s="17">
        <f t="shared" si="4"/>
        <v>6.4510712910390877E-22</v>
      </c>
      <c r="J49" s="17">
        <f t="shared" si="5"/>
        <v>1.4461213367824138E-29</v>
      </c>
      <c r="K49" s="17">
        <f t="shared" si="6"/>
        <v>3.2503942796874584E-23</v>
      </c>
      <c r="L49" s="17">
        <f t="shared" si="7"/>
        <v>1.2173560942971297E-30</v>
      </c>
      <c r="M49" s="17">
        <f t="shared" si="8"/>
        <v>5.2881789075442097E-32</v>
      </c>
      <c r="N49" s="17">
        <f t="shared" si="9"/>
        <v>2.9441054439274771E-3</v>
      </c>
      <c r="O49" s="17">
        <f t="shared" si="10"/>
        <v>4.1990310250747457E-22</v>
      </c>
    </row>
    <row r="50" spans="4:15" x14ac:dyDescent="0.3">
      <c r="D50" s="17">
        <f>TL!D70</f>
        <v>376</v>
      </c>
      <c r="E50" s="17">
        <f>TL!C70</f>
        <v>30626</v>
      </c>
      <c r="F50" s="17">
        <f t="shared" si="1"/>
        <v>1.094191585381304E-12</v>
      </c>
      <c r="G50" s="17">
        <f t="shared" si="2"/>
        <v>1.2881670992035536E-16</v>
      </c>
      <c r="H50" s="17">
        <f t="shared" si="3"/>
        <v>4.7535977616828141E-18</v>
      </c>
      <c r="I50" s="17">
        <f t="shared" si="4"/>
        <v>7.4219572172575033E-22</v>
      </c>
      <c r="J50" s="17">
        <f t="shared" si="5"/>
        <v>1.7422910848084555E-29</v>
      </c>
      <c r="K50" s="17">
        <f t="shared" si="6"/>
        <v>3.7688975905517386E-23</v>
      </c>
      <c r="L50" s="17">
        <f t="shared" si="7"/>
        <v>1.4762294594434727E-30</v>
      </c>
      <c r="M50" s="17">
        <f t="shared" si="8"/>
        <v>6.4657406863693558E-32</v>
      </c>
      <c r="N50" s="17">
        <f t="shared" si="9"/>
        <v>3.0315989946471012E-3</v>
      </c>
      <c r="O50" s="17">
        <f t="shared" si="10"/>
        <v>4.836407643411311E-22</v>
      </c>
    </row>
    <row r="51" spans="4:15" x14ac:dyDescent="0.3">
      <c r="D51" s="17">
        <f>TL!D71</f>
        <v>377</v>
      </c>
      <c r="E51" s="17">
        <f>TL!C71</f>
        <v>34492</v>
      </c>
      <c r="F51" s="17">
        <f t="shared" si="1"/>
        <v>1.1909062266490983E-12</v>
      </c>
      <c r="G51" s="17">
        <f t="shared" si="2"/>
        <v>1.4352258546731111E-16</v>
      </c>
      <c r="H51" s="17">
        <f t="shared" si="3"/>
        <v>5.3418208416159265E-18</v>
      </c>
      <c r="I51" s="17">
        <f t="shared" si="4"/>
        <v>8.5327282857454309E-22</v>
      </c>
      <c r="J51" s="17">
        <f t="shared" si="5"/>
        <v>2.0970721421213198E-29</v>
      </c>
      <c r="K51" s="17">
        <f t="shared" si="6"/>
        <v>4.3667418156999746E-23</v>
      </c>
      <c r="L51" s="17">
        <f t="shared" si="7"/>
        <v>1.7883471333347801E-30</v>
      </c>
      <c r="M51" s="17">
        <f t="shared" si="8"/>
        <v>7.8972008819802454E-32</v>
      </c>
      <c r="N51" s="17">
        <f t="shared" si="9"/>
        <v>3.1212379853529254E-3</v>
      </c>
      <c r="O51" s="17">
        <f t="shared" si="10"/>
        <v>5.5664331298109205E-22</v>
      </c>
    </row>
    <row r="52" spans="4:15" x14ac:dyDescent="0.3">
      <c r="D52" s="17">
        <f>TL!D72</f>
        <v>379</v>
      </c>
      <c r="E52" s="17">
        <f>TL!C72</f>
        <v>38740</v>
      </c>
      <c r="F52" s="17">
        <f t="shared" si="1"/>
        <v>1.4089010373323028E-12</v>
      </c>
      <c r="G52" s="17">
        <f t="shared" si="2"/>
        <v>1.7786492013963597E-16</v>
      </c>
      <c r="H52" s="17">
        <f t="shared" si="3"/>
        <v>6.7334596922765389E-18</v>
      </c>
      <c r="I52" s="17">
        <f t="shared" si="4"/>
        <v>1.1253443254834009E-21</v>
      </c>
      <c r="J52" s="17">
        <f t="shared" si="5"/>
        <v>3.0292983748032288E-29</v>
      </c>
      <c r="K52" s="17">
        <f t="shared" si="6"/>
        <v>5.8485616968734048E-23</v>
      </c>
      <c r="L52" s="17">
        <f t="shared" si="7"/>
        <v>2.6166564710233464E-30</v>
      </c>
      <c r="M52" s="17">
        <f t="shared" si="8"/>
        <v>1.1744260622525356E-31</v>
      </c>
      <c r="N52" s="17">
        <f t="shared" si="9"/>
        <v>3.3071148505663312E-3</v>
      </c>
      <c r="O52" s="17">
        <f t="shared" si="10"/>
        <v>7.357598672921692E-22</v>
      </c>
    </row>
    <row r="53" spans="4:15" x14ac:dyDescent="0.3">
      <c r="D53" s="17">
        <f>TL!D73</f>
        <v>380</v>
      </c>
      <c r="E53" s="17">
        <f>TL!C73</f>
        <v>43192</v>
      </c>
      <c r="F53" s="17">
        <f t="shared" si="1"/>
        <v>1.5314476661373894E-12</v>
      </c>
      <c r="G53" s="17">
        <f t="shared" si="2"/>
        <v>1.9784090803347048E-16</v>
      </c>
      <c r="H53" s="17">
        <f t="shared" si="3"/>
        <v>7.5530858588402044E-18</v>
      </c>
      <c r="I53" s="17">
        <f t="shared" si="4"/>
        <v>1.290976651069302E-21</v>
      </c>
      <c r="J53" s="17">
        <f t="shared" si="5"/>
        <v>3.6356716845289074E-29</v>
      </c>
      <c r="K53" s="17">
        <f t="shared" si="6"/>
        <v>6.7608711941707554E-23</v>
      </c>
      <c r="L53" s="17">
        <f t="shared" si="7"/>
        <v>3.1604611574006309E-30</v>
      </c>
      <c r="M53" s="17">
        <f t="shared" si="8"/>
        <v>1.4299813867394856E-31</v>
      </c>
      <c r="N53" s="17">
        <f t="shared" si="9"/>
        <v>3.4034352648530807E-3</v>
      </c>
      <c r="O53" s="17">
        <f t="shared" si="10"/>
        <v>8.4497928054093391E-22</v>
      </c>
    </row>
    <row r="54" spans="4:15" x14ac:dyDescent="0.3">
      <c r="D54" s="17">
        <f>TL!D74</f>
        <v>382</v>
      </c>
      <c r="E54" s="17">
        <f>TL!C74</f>
        <v>47785</v>
      </c>
      <c r="F54" s="17">
        <f t="shared" si="1"/>
        <v>1.8071456970074114E-12</v>
      </c>
      <c r="G54" s="17">
        <f t="shared" si="2"/>
        <v>2.4437599819654181E-16</v>
      </c>
      <c r="H54" s="17">
        <f t="shared" si="3"/>
        <v>9.487028131958522E-18</v>
      </c>
      <c r="I54" s="17">
        <f t="shared" si="4"/>
        <v>1.6953713576714724E-21</v>
      </c>
      <c r="J54" s="17">
        <f t="shared" si="5"/>
        <v>5.2220688994984509E-29</v>
      </c>
      <c r="K54" s="17">
        <f t="shared" si="6"/>
        <v>9.014429614210961E-23</v>
      </c>
      <c r="L54" s="17">
        <f t="shared" si="7"/>
        <v>4.5971357793787706E-30</v>
      </c>
      <c r="M54" s="17">
        <f t="shared" si="8"/>
        <v>2.113558179543155E-31</v>
      </c>
      <c r="N54" s="17">
        <f t="shared" si="9"/>
        <v>3.6030501985061447E-3</v>
      </c>
      <c r="O54" s="17">
        <f t="shared" si="10"/>
        <v>1.112087690313736E-21</v>
      </c>
    </row>
    <row r="55" spans="4:15" x14ac:dyDescent="0.3">
      <c r="D55" s="17">
        <f>TL!D75</f>
        <v>383</v>
      </c>
      <c r="E55" s="17">
        <f>TL!C75</f>
        <v>52441</v>
      </c>
      <c r="F55" s="17">
        <f t="shared" si="1"/>
        <v>1.9618480037426484E-12</v>
      </c>
      <c r="G55" s="17">
        <f t="shared" si="2"/>
        <v>2.7138064946088823E-16</v>
      </c>
      <c r="H55" s="17">
        <f t="shared" si="3"/>
        <v>1.0623161157530141E-17</v>
      </c>
      <c r="I55" s="17">
        <f t="shared" si="4"/>
        <v>1.940810368750038E-21</v>
      </c>
      <c r="J55" s="17">
        <f t="shared" si="5"/>
        <v>6.2497739398591274E-29</v>
      </c>
      <c r="K55" s="17">
        <f t="shared" si="6"/>
        <v>1.0397413069845302E-22</v>
      </c>
      <c r="L55" s="17">
        <f t="shared" si="7"/>
        <v>5.5363949210166796E-30</v>
      </c>
      <c r="M55" s="17">
        <f t="shared" si="8"/>
        <v>2.5656665744716898E-31</v>
      </c>
      <c r="N55" s="17">
        <f t="shared" si="9"/>
        <v>3.7064302986680201E-3</v>
      </c>
      <c r="O55" s="17">
        <f t="shared" si="10"/>
        <v>1.2744618850640131E-21</v>
      </c>
    </row>
    <row r="56" spans="4:15" x14ac:dyDescent="0.3">
      <c r="D56" s="17">
        <f>TL!D76</f>
        <v>385</v>
      </c>
      <c r="E56" s="17">
        <f>TL!C76</f>
        <v>57072</v>
      </c>
      <c r="F56" s="17">
        <f t="shared" si="1"/>
        <v>2.3092456085370471E-12</v>
      </c>
      <c r="G56" s="17">
        <f t="shared" si="2"/>
        <v>3.3413869897423769E-16</v>
      </c>
      <c r="H56" s="17">
        <f t="shared" si="3"/>
        <v>1.3296952086176009E-17</v>
      </c>
      <c r="I56" s="17">
        <f t="shared" si="4"/>
        <v>2.5381742720299276E-21</v>
      </c>
      <c r="J56" s="17">
        <f t="shared" si="5"/>
        <v>8.9270693721983943E-29</v>
      </c>
      <c r="K56" s="17">
        <f t="shared" si="6"/>
        <v>1.3802263094855816E-22</v>
      </c>
      <c r="L56" s="17">
        <f t="shared" si="7"/>
        <v>8.0069176567678285E-30</v>
      </c>
      <c r="M56" s="17">
        <f t="shared" si="8"/>
        <v>3.7694448145995413E-31</v>
      </c>
      <c r="N56" s="17">
        <f t="shared" si="9"/>
        <v>3.9205535475819436E-3</v>
      </c>
      <c r="O56" s="17">
        <f t="shared" si="10"/>
        <v>1.6703096362458898E-21</v>
      </c>
    </row>
    <row r="57" spans="4:15" x14ac:dyDescent="0.3">
      <c r="D57" s="17">
        <f>TL!D77</f>
        <v>387</v>
      </c>
      <c r="E57" s="17">
        <f>TL!C77</f>
        <v>61342</v>
      </c>
      <c r="F57" s="17">
        <f t="shared" si="1"/>
        <v>2.7137173506260206E-12</v>
      </c>
      <c r="G57" s="17">
        <f t="shared" si="2"/>
        <v>4.1054695189938644E-16</v>
      </c>
      <c r="H57" s="17">
        <f t="shared" si="3"/>
        <v>1.6605990944606393E-17</v>
      </c>
      <c r="I57" s="17">
        <f t="shared" si="4"/>
        <v>3.3103777604312103E-21</v>
      </c>
      <c r="J57" s="17">
        <f t="shared" si="5"/>
        <v>1.2705028157112719E-28</v>
      </c>
      <c r="K57" s="17">
        <f t="shared" si="6"/>
        <v>1.8269476443120397E-22</v>
      </c>
      <c r="L57" s="17">
        <f t="shared" si="7"/>
        <v>1.1536393522542912E-29</v>
      </c>
      <c r="M57" s="17">
        <f t="shared" si="8"/>
        <v>5.5163308667698124E-31</v>
      </c>
      <c r="N57" s="17">
        <f t="shared" si="9"/>
        <v>4.1447905571808091E-3</v>
      </c>
      <c r="O57" s="17">
        <f t="shared" si="10"/>
        <v>2.1831083137683932E-21</v>
      </c>
    </row>
    <row r="58" spans="4:15" x14ac:dyDescent="0.3">
      <c r="D58" s="17">
        <f>TL!D78</f>
        <v>388</v>
      </c>
      <c r="E58" s="17">
        <f>TL!C78</f>
        <v>65032</v>
      </c>
      <c r="F58" s="17">
        <f t="shared" si="1"/>
        <v>2.9400105693620372E-12</v>
      </c>
      <c r="G58" s="17">
        <f t="shared" si="2"/>
        <v>4.5471919378855446E-16</v>
      </c>
      <c r="H58" s="17">
        <f t="shared" si="3"/>
        <v>1.8541986185960587E-17</v>
      </c>
      <c r="I58" s="17">
        <f t="shared" si="4"/>
        <v>3.7767475756899266E-21</v>
      </c>
      <c r="J58" s="17">
        <f t="shared" si="5"/>
        <v>1.5136479458418091E-28</v>
      </c>
      <c r="K58" s="17">
        <f t="shared" si="6"/>
        <v>2.0996724490203207E-22</v>
      </c>
      <c r="L58" s="17">
        <f t="shared" si="7"/>
        <v>1.3828264192153176E-29</v>
      </c>
      <c r="M58" s="17">
        <f t="shared" si="8"/>
        <v>6.6635531791065133E-31</v>
      </c>
      <c r="N58" s="17">
        <f t="shared" si="9"/>
        <v>4.2608147913474241E-3</v>
      </c>
      <c r="O58" s="17">
        <f t="shared" si="10"/>
        <v>2.4932924075739901E-21</v>
      </c>
    </row>
    <row r="59" spans="4:15" x14ac:dyDescent="0.3">
      <c r="D59" s="17">
        <f>TL!D79</f>
        <v>389</v>
      </c>
      <c r="E59" s="17">
        <f>TL!C79</f>
        <v>67970</v>
      </c>
      <c r="F59" s="17">
        <f t="shared" si="1"/>
        <v>3.183901668435747E-12</v>
      </c>
      <c r="G59" s="17">
        <f t="shared" si="2"/>
        <v>5.0338582947028379E-16</v>
      </c>
      <c r="H59" s="17">
        <f t="shared" si="3"/>
        <v>2.069221255997273E-17</v>
      </c>
      <c r="I59" s="17">
        <f t="shared" si="4"/>
        <v>4.3059558484190366E-21</v>
      </c>
      <c r="J59" s="17">
        <f t="shared" si="5"/>
        <v>1.801725780269473E-28</v>
      </c>
      <c r="K59" s="17">
        <f t="shared" si="6"/>
        <v>2.4114143797519534E-22</v>
      </c>
      <c r="L59" s="17">
        <f t="shared" si="7"/>
        <v>1.656022517634306E-29</v>
      </c>
      <c r="M59" s="17">
        <f t="shared" si="8"/>
        <v>8.0416494119793771E-31</v>
      </c>
      <c r="N59" s="17">
        <f t="shared" si="9"/>
        <v>4.3795041835490598E-3</v>
      </c>
      <c r="O59" s="17">
        <f t="shared" si="10"/>
        <v>2.845640317052577E-21</v>
      </c>
    </row>
    <row r="60" spans="4:15" x14ac:dyDescent="0.3">
      <c r="D60" s="17">
        <f>TL!D80</f>
        <v>391</v>
      </c>
      <c r="E60" s="17">
        <f>TL!C80</f>
        <v>70016</v>
      </c>
      <c r="F60" s="17">
        <f t="shared" si="1"/>
        <v>3.7296308284313073E-12</v>
      </c>
      <c r="G60" s="17">
        <f t="shared" si="2"/>
        <v>6.1596338704784745E-16</v>
      </c>
      <c r="H60" s="17">
        <f t="shared" si="3"/>
        <v>2.5727244957426691E-17</v>
      </c>
      <c r="I60" s="17">
        <f t="shared" si="4"/>
        <v>5.5861839528899047E-21</v>
      </c>
      <c r="J60" s="17">
        <f t="shared" si="5"/>
        <v>2.5460786517000342E-28</v>
      </c>
      <c r="K60" s="17">
        <f t="shared" si="6"/>
        <v>3.1739953969535048E-22</v>
      </c>
      <c r="L60" s="17">
        <f t="shared" si="7"/>
        <v>2.3685276254707305E-29</v>
      </c>
      <c r="M60" s="17">
        <f t="shared" si="8"/>
        <v>1.1678511890470051E-30</v>
      </c>
      <c r="N60" s="17">
        <f t="shared" si="9"/>
        <v>4.625065574911413E-3</v>
      </c>
      <c r="O60" s="17">
        <f t="shared" si="10"/>
        <v>3.6993808355984462E-21</v>
      </c>
    </row>
    <row r="61" spans="4:15" x14ac:dyDescent="0.3">
      <c r="D61" s="17">
        <f>TL!D81</f>
        <v>393</v>
      </c>
      <c r="E61" s="17">
        <f>TL!C81</f>
        <v>70444</v>
      </c>
      <c r="F61" s="17">
        <f t="shared" si="1"/>
        <v>4.3620798278947083E-12</v>
      </c>
      <c r="G61" s="17">
        <f t="shared" si="2"/>
        <v>7.522080085076576E-16</v>
      </c>
      <c r="H61" s="17">
        <f t="shared" si="3"/>
        <v>3.1918195011176348E-17</v>
      </c>
      <c r="I61" s="17">
        <f t="shared" si="4"/>
        <v>7.228229316751369E-21</v>
      </c>
      <c r="J61" s="17">
        <f t="shared" si="5"/>
        <v>3.5854877360156051E-28</v>
      </c>
      <c r="K61" s="17">
        <f t="shared" si="6"/>
        <v>4.1662738899561465E-22</v>
      </c>
      <c r="L61" s="17">
        <f t="shared" si="7"/>
        <v>3.3754429985392169E-29</v>
      </c>
      <c r="M61" s="17">
        <f t="shared" si="8"/>
        <v>1.6896724944359416E-30</v>
      </c>
      <c r="N61" s="17">
        <f t="shared" si="9"/>
        <v>4.8818542125397641E-3</v>
      </c>
      <c r="O61" s="17">
        <f t="shared" si="10"/>
        <v>4.796670897338982E-21</v>
      </c>
    </row>
    <row r="62" spans="4:15" x14ac:dyDescent="0.3">
      <c r="D62" s="17">
        <f>TL!D82</f>
        <v>394</v>
      </c>
      <c r="E62" s="17">
        <f>TL!C82</f>
        <v>69592</v>
      </c>
      <c r="F62" s="17">
        <f t="shared" si="1"/>
        <v>4.7147239474546923E-12</v>
      </c>
      <c r="G62" s="17">
        <f t="shared" si="2"/>
        <v>8.306288601593046E-16</v>
      </c>
      <c r="H62" s="17">
        <f t="shared" si="3"/>
        <v>3.5523217736903153E-17</v>
      </c>
      <c r="I62" s="17">
        <f t="shared" si="4"/>
        <v>8.2143317616897503E-21</v>
      </c>
      <c r="J62" s="17">
        <f t="shared" si="5"/>
        <v>4.2494094292833454E-28</v>
      </c>
      <c r="K62" s="17">
        <f t="shared" si="6"/>
        <v>4.7684460614984525E-22</v>
      </c>
      <c r="L62" s="17">
        <f t="shared" si="7"/>
        <v>4.0241982505766086E-29</v>
      </c>
      <c r="M62" s="17">
        <f t="shared" si="8"/>
        <v>2.0295862040056587E-30</v>
      </c>
      <c r="N62" s="17">
        <f t="shared" si="9"/>
        <v>5.014579624481005E-3</v>
      </c>
      <c r="O62" s="17">
        <f t="shared" si="10"/>
        <v>5.4566228030853888E-21</v>
      </c>
    </row>
    <row r="63" spans="4:15" x14ac:dyDescent="0.3">
      <c r="D63" s="17">
        <f>TL!D83</f>
        <v>396</v>
      </c>
      <c r="E63" s="17">
        <f>TL!C83</f>
        <v>67006</v>
      </c>
      <c r="F63" s="17">
        <f t="shared" si="1"/>
        <v>5.5015545046893211E-12</v>
      </c>
      <c r="G63" s="17">
        <f t="shared" si="2"/>
        <v>1.0113658582960623E-15</v>
      </c>
      <c r="H63" s="17">
        <f t="shared" si="3"/>
        <v>4.3931080210968224E-17</v>
      </c>
      <c r="I63" s="17">
        <f t="shared" si="4"/>
        <v>1.0588325981191152E-20</v>
      </c>
      <c r="J63" s="17">
        <f t="shared" si="5"/>
        <v>5.9537077384331561E-28</v>
      </c>
      <c r="K63" s="17">
        <f t="shared" si="6"/>
        <v>6.2339406479806563E-22</v>
      </c>
      <c r="L63" s="17">
        <f t="shared" si="7"/>
        <v>5.7047407957693523E-29</v>
      </c>
      <c r="M63" s="17">
        <f t="shared" si="8"/>
        <v>2.9203001498761609E-30</v>
      </c>
      <c r="N63" s="17">
        <f t="shared" si="9"/>
        <v>5.2889389790384206E-3</v>
      </c>
      <c r="O63" s="17">
        <f t="shared" si="10"/>
        <v>7.0478989729619712E-21</v>
      </c>
    </row>
    <row r="64" spans="4:15" x14ac:dyDescent="0.3">
      <c r="D64" s="17">
        <f>TL!D84</f>
        <v>397</v>
      </c>
      <c r="E64" s="17">
        <f>TL!C84</f>
        <v>63174</v>
      </c>
      <c r="F64" s="17">
        <f t="shared" si="1"/>
        <v>5.9395614727030251E-12</v>
      </c>
      <c r="G64" s="17">
        <f t="shared" si="2"/>
        <v>1.1151766749637111E-15</v>
      </c>
      <c r="H64" s="17">
        <f t="shared" si="3"/>
        <v>4.8815858582105585E-17</v>
      </c>
      <c r="I64" s="17">
        <f t="shared" si="4"/>
        <v>1.2010087774900881E-20</v>
      </c>
      <c r="J64" s="17">
        <f t="shared" si="5"/>
        <v>7.0383625300420995E-28</v>
      </c>
      <c r="K64" s="17">
        <f t="shared" si="6"/>
        <v>7.1207175729417046E-22</v>
      </c>
      <c r="L64" s="17">
        <f t="shared" si="7"/>
        <v>6.7834338362469372E-29</v>
      </c>
      <c r="M64" s="17">
        <f t="shared" si="8"/>
        <v>3.4982309534509419E-30</v>
      </c>
      <c r="N64" s="17">
        <f t="shared" si="9"/>
        <v>5.4306730389109582E-3</v>
      </c>
      <c r="O64" s="17">
        <f t="shared" si="10"/>
        <v>8.0023134762185242E-21</v>
      </c>
    </row>
    <row r="65" spans="4:15" x14ac:dyDescent="0.3">
      <c r="D65" s="17">
        <f>TL!D85</f>
        <v>398</v>
      </c>
      <c r="E65" s="17">
        <f>TL!C85</f>
        <v>58100</v>
      </c>
      <c r="F65" s="17">
        <f t="shared" si="1"/>
        <v>6.4100472020468618E-12</v>
      </c>
      <c r="G65" s="17">
        <f t="shared" si="2"/>
        <v>1.2290540839923254E-15</v>
      </c>
      <c r="H65" s="17">
        <f t="shared" si="3"/>
        <v>5.4215701953245924E-17</v>
      </c>
      <c r="I65" s="17">
        <f t="shared" si="4"/>
        <v>1.3614300832296882E-20</v>
      </c>
      <c r="J65" s="17">
        <f t="shared" si="5"/>
        <v>8.3137282472498829E-28</v>
      </c>
      <c r="K65" s="17">
        <f t="shared" si="6"/>
        <v>8.1283027017488899E-22</v>
      </c>
      <c r="L65" s="17">
        <f t="shared" si="7"/>
        <v>8.0591759341035728E-29</v>
      </c>
      <c r="M65" s="17">
        <f t="shared" si="8"/>
        <v>4.1867856061235322E-30</v>
      </c>
      <c r="N65" s="17">
        <f t="shared" si="9"/>
        <v>5.5755109783205735E-3</v>
      </c>
      <c r="O65" s="17">
        <f t="shared" si="10"/>
        <v>9.0802862498430235E-21</v>
      </c>
    </row>
    <row r="66" spans="4:15" x14ac:dyDescent="0.3">
      <c r="D66" s="17">
        <f>TL!D86</f>
        <v>400</v>
      </c>
      <c r="E66" s="17">
        <f>TL!C86</f>
        <v>52018</v>
      </c>
      <c r="F66" s="17">
        <f t="shared" si="1"/>
        <v>7.4575020463910547E-12</v>
      </c>
      <c r="G66" s="17">
        <f t="shared" si="2"/>
        <v>1.4907595533544895E-15</v>
      </c>
      <c r="H66" s="17">
        <f t="shared" si="3"/>
        <v>6.6770617365191262E-17</v>
      </c>
      <c r="I66" s="17">
        <f t="shared" si="4"/>
        <v>1.746194244853701E-20</v>
      </c>
      <c r="J66" s="17">
        <f t="shared" si="5"/>
        <v>1.1571113790750006E-27</v>
      </c>
      <c r="K66" s="17">
        <f t="shared" si="6"/>
        <v>1.057074530681405E-21</v>
      </c>
      <c r="L66" s="17">
        <f t="shared" si="7"/>
        <v>1.1346605249453592E-28</v>
      </c>
      <c r="M66" s="17">
        <f t="shared" si="8"/>
        <v>5.9812311738312054E-30</v>
      </c>
      <c r="N66" s="17">
        <f t="shared" si="9"/>
        <v>5.8747045429146357E-3</v>
      </c>
      <c r="O66" s="17">
        <f t="shared" si="10"/>
        <v>1.1669704780247166E-20</v>
      </c>
    </row>
    <row r="67" spans="4:15" x14ac:dyDescent="0.3">
      <c r="D67" s="17">
        <f>TL!D87</f>
        <v>401</v>
      </c>
      <c r="E67" s="17">
        <f>TL!C87</f>
        <v>45972</v>
      </c>
      <c r="F67" s="17">
        <f t="shared" si="1"/>
        <v>8.0393523426986995E-12</v>
      </c>
      <c r="G67" s="17">
        <f t="shared" si="2"/>
        <v>1.6406651230002514E-15</v>
      </c>
      <c r="H67" s="17">
        <f t="shared" si="3"/>
        <v>7.404314372522865E-17</v>
      </c>
      <c r="I67" s="17">
        <f t="shared" si="4"/>
        <v>1.975807224076099E-20</v>
      </c>
      <c r="J67" s="17">
        <f t="shared" si="5"/>
        <v>1.363438700755307E-27</v>
      </c>
      <c r="K67" s="17">
        <f t="shared" si="6"/>
        <v>1.2043131714070514E-21</v>
      </c>
      <c r="L67" s="17">
        <f t="shared" si="7"/>
        <v>1.344639004258025E-28</v>
      </c>
      <c r="M67" s="17">
        <f t="shared" si="8"/>
        <v>7.1396009915621472E-30</v>
      </c>
      <c r="N67" s="17">
        <f t="shared" si="9"/>
        <v>6.0291645167605008E-3</v>
      </c>
      <c r="O67" s="17">
        <f t="shared" si="10"/>
        <v>1.3217223094612933E-20</v>
      </c>
    </row>
    <row r="68" spans="4:15" x14ac:dyDescent="0.3">
      <c r="D68" s="17">
        <f>TL!D88</f>
        <v>403</v>
      </c>
      <c r="E68" s="17">
        <f>TL!C88</f>
        <v>40386</v>
      </c>
      <c r="F68" s="17">
        <f t="shared" si="1"/>
        <v>9.3326608606237775E-12</v>
      </c>
      <c r="G68" s="17">
        <f t="shared" si="2"/>
        <v>1.9844503755142928E-15</v>
      </c>
      <c r="H68" s="17">
        <f t="shared" si="3"/>
        <v>9.091394710786417E-17</v>
      </c>
      <c r="I68" s="17">
        <f t="shared" si="4"/>
        <v>2.5250221880351862E-20</v>
      </c>
      <c r="J68" s="17">
        <f t="shared" si="5"/>
        <v>1.8884746198674581E-27</v>
      </c>
      <c r="K68" s="17">
        <f t="shared" si="6"/>
        <v>1.5601966293434962E-21</v>
      </c>
      <c r="L68" s="17">
        <f t="shared" si="7"/>
        <v>1.8836619235542902E-28</v>
      </c>
      <c r="M68" s="17">
        <f t="shared" si="8"/>
        <v>1.0146391214202847E-29</v>
      </c>
      <c r="N68" s="17">
        <f t="shared" si="9"/>
        <v>6.3480757016654921E-3</v>
      </c>
      <c r="O68" s="17">
        <f t="shared" si="10"/>
        <v>1.6924316903988844E-20</v>
      </c>
    </row>
    <row r="69" spans="4:15" x14ac:dyDescent="0.3">
      <c r="D69" s="17">
        <f>TL!D89</f>
        <v>405</v>
      </c>
      <c r="E69" s="17">
        <f>TL!C89</f>
        <v>35320</v>
      </c>
      <c r="F69" s="17">
        <f t="shared" si="1"/>
        <v>1.0818564668368193E-11</v>
      </c>
      <c r="G69" s="17">
        <f t="shared" si="2"/>
        <v>2.3958771376609536E-15</v>
      </c>
      <c r="H69" s="17">
        <f t="shared" si="3"/>
        <v>1.1140786163311773E-16</v>
      </c>
      <c r="I69" s="17">
        <f t="shared" si="4"/>
        <v>3.2192455035525019E-20</v>
      </c>
      <c r="J69" s="17">
        <f t="shared" si="5"/>
        <v>2.6074139244471035E-27</v>
      </c>
      <c r="K69" s="17">
        <f t="shared" si="6"/>
        <v>2.0161790500350563E-21</v>
      </c>
      <c r="L69" s="17">
        <f t="shared" si="7"/>
        <v>2.6301161125073462E-28</v>
      </c>
      <c r="M69" s="17">
        <f t="shared" si="8"/>
        <v>1.4370185369440089E-29</v>
      </c>
      <c r="N69" s="17">
        <f t="shared" si="9"/>
        <v>6.6806678812949601E-3</v>
      </c>
      <c r="O69" s="17">
        <f t="shared" si="10"/>
        <v>2.1619316364709896E-20</v>
      </c>
    </row>
    <row r="70" spans="4:15" x14ac:dyDescent="0.3">
      <c r="D70" s="17">
        <f>TL!D90</f>
        <v>406</v>
      </c>
      <c r="E70" s="17">
        <f>TL!C90</f>
        <v>31830</v>
      </c>
      <c r="F70" s="17">
        <f t="shared" si="1"/>
        <v>1.1641848942032889E-11</v>
      </c>
      <c r="G70" s="17">
        <f t="shared" si="2"/>
        <v>2.6307636820103086E-15</v>
      </c>
      <c r="H70" s="17">
        <f t="shared" si="3"/>
        <v>1.232366301486153E-16</v>
      </c>
      <c r="I70" s="17">
        <f t="shared" si="4"/>
        <v>3.6317536370887895E-20</v>
      </c>
      <c r="J70" s="17">
        <f t="shared" si="5"/>
        <v>3.0601974875989633E-27</v>
      </c>
      <c r="K70" s="17">
        <f t="shared" si="6"/>
        <v>2.2898138571217658E-21</v>
      </c>
      <c r="L70" s="17">
        <f t="shared" si="7"/>
        <v>3.1040804490980249E-28</v>
      </c>
      <c r="M70" s="17">
        <f t="shared" si="8"/>
        <v>1.7079966012665721E-29</v>
      </c>
      <c r="N70" s="17">
        <f t="shared" si="9"/>
        <v>6.8522310965894893E-3</v>
      </c>
      <c r="O70" s="17">
        <f t="shared" si="10"/>
        <v>2.4413052568516214E-20</v>
      </c>
    </row>
    <row r="71" spans="4:15" x14ac:dyDescent="0.3">
      <c r="D71" s="17">
        <f>TL!D91</f>
        <v>408</v>
      </c>
      <c r="E71" s="17">
        <f>TL!C91</f>
        <v>29832</v>
      </c>
      <c r="F71" s="17">
        <f t="shared" si="1"/>
        <v>1.346705464809318E-11</v>
      </c>
      <c r="G71" s="17">
        <f t="shared" si="2"/>
        <v>3.1676258384982338E-15</v>
      </c>
      <c r="H71" s="17">
        <f t="shared" si="3"/>
        <v>1.5057682592619937E-16</v>
      </c>
      <c r="I71" s="17">
        <f t="shared" si="4"/>
        <v>4.6140884177655846E-20</v>
      </c>
      <c r="J71" s="17">
        <f t="shared" si="5"/>
        <v>4.2055321284641193E-27</v>
      </c>
      <c r="K71" s="17">
        <f t="shared" si="6"/>
        <v>2.948116049588412E-21</v>
      </c>
      <c r="L71" s="17">
        <f t="shared" si="7"/>
        <v>4.3132642592120971E-28</v>
      </c>
      <c r="M71" s="17">
        <f t="shared" si="8"/>
        <v>2.4068454070047786E-29</v>
      </c>
      <c r="N71" s="17">
        <f t="shared" si="9"/>
        <v>7.2061699512918241E-3</v>
      </c>
      <c r="O71" s="17">
        <f t="shared" si="10"/>
        <v>3.1075718188462625E-20</v>
      </c>
    </row>
    <row r="72" spans="4:15" x14ac:dyDescent="0.3">
      <c r="D72" s="17">
        <f>TL!D92</f>
        <v>409</v>
      </c>
      <c r="E72" s="17">
        <f>TL!C92</f>
        <v>29610</v>
      </c>
      <c r="F72" s="17">
        <f t="shared" si="1"/>
        <v>1.4476819670601196E-11</v>
      </c>
      <c r="G72" s="17">
        <f t="shared" si="2"/>
        <v>3.4735331221273252E-15</v>
      </c>
      <c r="H72" s="17">
        <f t="shared" si="3"/>
        <v>1.6632423689641539E-16</v>
      </c>
      <c r="I72" s="17">
        <f t="shared" si="4"/>
        <v>5.196331256968857E-20</v>
      </c>
      <c r="J72" s="17">
        <f t="shared" si="5"/>
        <v>4.9244517089703289E-27</v>
      </c>
      <c r="K72" s="17">
        <f t="shared" si="6"/>
        <v>3.3421178869919089E-21</v>
      </c>
      <c r="L72" s="17">
        <f t="shared" si="7"/>
        <v>5.0783916729673039E-28</v>
      </c>
      <c r="M72" s="17">
        <f t="shared" si="8"/>
        <v>2.853580006257131E-29</v>
      </c>
      <c r="N72" s="17">
        <f t="shared" si="9"/>
        <v>7.3886584622184226E-3</v>
      </c>
      <c r="O72" s="17">
        <f t="shared" si="10"/>
        <v>3.5030297798750995E-20</v>
      </c>
    </row>
    <row r="73" spans="4:15" x14ac:dyDescent="0.3">
      <c r="D73" s="17">
        <f>TL!D93</f>
        <v>411</v>
      </c>
      <c r="E73" s="17">
        <f>TL!C93</f>
        <v>30356</v>
      </c>
      <c r="F73" s="17">
        <f t="shared" si="1"/>
        <v>1.6712063469253847E-11</v>
      </c>
      <c r="G73" s="17">
        <f t="shared" si="2"/>
        <v>4.1713499927043811E-15</v>
      </c>
      <c r="H73" s="17">
        <f t="shared" si="3"/>
        <v>2.0264427682801048E-16</v>
      </c>
      <c r="I73" s="17">
        <f t="shared" si="4"/>
        <v>6.5793046169164628E-20</v>
      </c>
      <c r="J73" s="17">
        <f t="shared" si="5"/>
        <v>6.736683851422805E-27</v>
      </c>
      <c r="K73" s="17">
        <f t="shared" si="6"/>
        <v>4.2874165002302805E-21</v>
      </c>
      <c r="L73" s="17">
        <f t="shared" si="7"/>
        <v>7.0233789436304169E-28</v>
      </c>
      <c r="M73" s="17">
        <f t="shared" si="8"/>
        <v>4.0013757236922689E-29</v>
      </c>
      <c r="N73" s="17">
        <f t="shared" si="9"/>
        <v>7.7649598388894528E-3</v>
      </c>
      <c r="O73" s="17">
        <f t="shared" si="10"/>
        <v>4.4436973009692985E-20</v>
      </c>
    </row>
    <row r="74" spans="4:15" x14ac:dyDescent="0.3">
      <c r="D74" s="17">
        <f>TL!D94</f>
        <v>412</v>
      </c>
      <c r="E74" s="17">
        <f>TL!C94</f>
        <v>31860</v>
      </c>
      <c r="F74" s="17">
        <f t="shared" si="1"/>
        <v>1.7946864200942914E-11</v>
      </c>
      <c r="G74" s="17">
        <f t="shared" si="2"/>
        <v>4.56821978314754E-15</v>
      </c>
      <c r="H74" s="17">
        <f t="shared" si="3"/>
        <v>2.2352119447804793E-16</v>
      </c>
      <c r="I74" s="17">
        <f t="shared" si="4"/>
        <v>7.3970031598963201E-20</v>
      </c>
      <c r="J74" s="17">
        <f t="shared" si="5"/>
        <v>7.8704992478081944E-27</v>
      </c>
      <c r="K74" s="17">
        <f t="shared" si="6"/>
        <v>4.8517248036236516E-21</v>
      </c>
      <c r="L74" s="17">
        <f t="shared" si="7"/>
        <v>8.2499404034939403E-28</v>
      </c>
      <c r="M74" s="17">
        <f t="shared" si="8"/>
        <v>4.7325138896579769E-29</v>
      </c>
      <c r="N74" s="17">
        <f t="shared" si="9"/>
        <v>7.9588887840411175E-3</v>
      </c>
      <c r="O74" s="17">
        <f t="shared" si="10"/>
        <v>5.0006451852931074E-20</v>
      </c>
    </row>
    <row r="75" spans="4:15" x14ac:dyDescent="0.3">
      <c r="D75" s="17">
        <f>TL!D95</f>
        <v>414</v>
      </c>
      <c r="E75" s="17">
        <f>TL!C95</f>
        <v>34722</v>
      </c>
      <c r="F75" s="17">
        <f t="shared" si="1"/>
        <v>2.0676209145189765E-11</v>
      </c>
      <c r="G75" s="17">
        <f t="shared" si="2"/>
        <v>5.4717972721295134E-15</v>
      </c>
      <c r="H75" s="17">
        <f t="shared" si="3"/>
        <v>2.7157180560923911E-16</v>
      </c>
      <c r="I75" s="17">
        <f t="shared" si="4"/>
        <v>9.3343622484366545E-20</v>
      </c>
      <c r="J75" s="17">
        <f t="shared" si="5"/>
        <v>1.071889914126385E-26</v>
      </c>
      <c r="K75" s="17">
        <f t="shared" si="6"/>
        <v>6.2020242248891032E-21</v>
      </c>
      <c r="L75" s="17">
        <f t="shared" si="7"/>
        <v>1.1356954479640584E-27</v>
      </c>
      <c r="M75" s="17">
        <f t="shared" si="8"/>
        <v>6.6041289456129028E-29</v>
      </c>
      <c r="N75" s="17">
        <f t="shared" si="9"/>
        <v>8.358597398648698E-3</v>
      </c>
      <c r="O75" s="17">
        <f t="shared" si="10"/>
        <v>6.3220880438282806E-20</v>
      </c>
    </row>
    <row r="76" spans="4:15" x14ac:dyDescent="0.3">
      <c r="D76" s="17">
        <f>TL!D96</f>
        <v>415</v>
      </c>
      <c r="E76" s="17">
        <f>TL!C96</f>
        <v>37854</v>
      </c>
      <c r="F76" s="17">
        <f t="shared" si="1"/>
        <v>2.218180208769156E-11</v>
      </c>
      <c r="G76" s="17">
        <f t="shared" si="2"/>
        <v>5.9847403091971781E-15</v>
      </c>
      <c r="H76" s="17">
        <f t="shared" si="3"/>
        <v>2.9913633150628482E-16</v>
      </c>
      <c r="I76" s="17">
        <f t="shared" si="4"/>
        <v>1.047710138561553E-19</v>
      </c>
      <c r="J76" s="17">
        <f t="shared" si="5"/>
        <v>1.2495297333159781E-26</v>
      </c>
      <c r="K76" s="17">
        <f t="shared" si="6"/>
        <v>7.0060612368613823E-21</v>
      </c>
      <c r="L76" s="17">
        <f t="shared" si="7"/>
        <v>1.3309846153401228E-27</v>
      </c>
      <c r="M76" s="17">
        <f t="shared" si="8"/>
        <v>7.7922274633966478E-29</v>
      </c>
      <c r="N76" s="17">
        <f t="shared" si="9"/>
        <v>8.5644963573549022E-3</v>
      </c>
      <c r="O76" s="17">
        <f t="shared" si="10"/>
        <v>7.1025933828386617E-20</v>
      </c>
    </row>
    <row r="77" spans="4:15" x14ac:dyDescent="0.3">
      <c r="D77" s="17">
        <f>TL!D97</f>
        <v>417</v>
      </c>
      <c r="E77" s="17">
        <f>TL!C97</f>
        <v>41342</v>
      </c>
      <c r="F77" s="17">
        <f t="shared" si="1"/>
        <v>2.5504876523176043E-11</v>
      </c>
      <c r="G77" s="17">
        <f t="shared" si="2"/>
        <v>7.1503962671051513E-15</v>
      </c>
      <c r="H77" s="17">
        <f t="shared" si="3"/>
        <v>3.6245010060430348E-16</v>
      </c>
      <c r="I77" s="17">
        <f t="shared" si="4"/>
        <v>1.3177918113241205E-19</v>
      </c>
      <c r="J77" s="17">
        <f t="shared" si="5"/>
        <v>1.6943211217812038E-26</v>
      </c>
      <c r="K77" s="17">
        <f t="shared" si="6"/>
        <v>8.9249855371829881E-21</v>
      </c>
      <c r="L77" s="17">
        <f t="shared" si="7"/>
        <v>1.8239728048339895E-27</v>
      </c>
      <c r="M77" s="17">
        <f t="shared" si="8"/>
        <v>1.0822674354478833E-28</v>
      </c>
      <c r="N77" s="17">
        <f t="shared" si="9"/>
        <v>8.9886858125361388E-3</v>
      </c>
      <c r="O77" s="17">
        <f t="shared" si="10"/>
        <v>8.9498693742497242E-20</v>
      </c>
    </row>
    <row r="78" spans="4:15" x14ac:dyDescent="0.3">
      <c r="D78" s="17">
        <f>TL!D98</f>
        <v>418</v>
      </c>
      <c r="E78" s="17">
        <f>TL!C98</f>
        <v>45266</v>
      </c>
      <c r="F78" s="17">
        <f t="shared" si="1"/>
        <v>2.7335418437814501E-11</v>
      </c>
      <c r="G78" s="17">
        <f t="shared" si="2"/>
        <v>7.8109199477047007E-15</v>
      </c>
      <c r="H78" s="17">
        <f t="shared" si="3"/>
        <v>3.9869941716971474E-16</v>
      </c>
      <c r="I78" s="17">
        <f t="shared" si="4"/>
        <v>1.4767239799183295E-19</v>
      </c>
      <c r="J78" s="17">
        <f t="shared" si="5"/>
        <v>1.970847113786295E-26</v>
      </c>
      <c r="K78" s="17">
        <f t="shared" si="6"/>
        <v>1.0064777861780845E-20</v>
      </c>
      <c r="L78" s="17">
        <f t="shared" si="7"/>
        <v>2.1328346220967494E-27</v>
      </c>
      <c r="M78" s="17">
        <f t="shared" si="8"/>
        <v>1.2739909288149661E-28</v>
      </c>
      <c r="N78" s="17">
        <f t="shared" si="9"/>
        <v>9.2070988071820837E-3</v>
      </c>
      <c r="O78" s="17">
        <f t="shared" si="10"/>
        <v>1.0038375015212773E-19</v>
      </c>
    </row>
    <row r="79" spans="4:15" x14ac:dyDescent="0.3">
      <c r="D79" s="17">
        <f>TL!D99</f>
        <v>419</v>
      </c>
      <c r="E79" s="17">
        <f>TL!C99</f>
        <v>49372</v>
      </c>
      <c r="F79" s="17">
        <f t="shared" si="1"/>
        <v>2.9287957544344477E-11</v>
      </c>
      <c r="G79" s="17">
        <f t="shared" si="2"/>
        <v>8.5289535975551544E-15</v>
      </c>
      <c r="H79" s="17">
        <f t="shared" si="3"/>
        <v>4.3837931199671528E-16</v>
      </c>
      <c r="I79" s="17">
        <f t="shared" si="4"/>
        <v>1.6539429531085575E-19</v>
      </c>
      <c r="J79" s="17">
        <f t="shared" si="5"/>
        <v>2.2908757525819876E-26</v>
      </c>
      <c r="K79" s="17">
        <f t="shared" si="6"/>
        <v>1.1343745075488563E-20</v>
      </c>
      <c r="L79" s="17">
        <f t="shared" si="7"/>
        <v>2.4921633771787289E-27</v>
      </c>
      <c r="M79" s="17">
        <f t="shared" si="8"/>
        <v>1.4985277281956603E-28</v>
      </c>
      <c r="N79" s="17">
        <f t="shared" si="9"/>
        <v>9.4298065360557473E-3</v>
      </c>
      <c r="O79" s="17">
        <f t="shared" si="10"/>
        <v>1.1253223175468826E-19</v>
      </c>
    </row>
    <row r="80" spans="4:15" x14ac:dyDescent="0.3">
      <c r="D80" s="17">
        <f>TL!D100</f>
        <v>421</v>
      </c>
      <c r="E80" s="17">
        <f>TL!C100</f>
        <v>53470</v>
      </c>
      <c r="F80" s="17">
        <f t="shared" ref="F80:F143" si="11">$C$8*D80^2/$F$9*EXP(-$F$9/($C$8*D80))*(1-2*$C$8*D80/$F$9)</f>
        <v>3.3589404340636313E-11</v>
      </c>
      <c r="G80" s="17">
        <f t="shared" ref="G80:G143" si="12">$C$8*D80^2/$G$9*EXP(-$G$9/($C$8*D80))*(1-2*$C$8*D80/$G$9)</f>
        <v>1.0156694449996575E-14</v>
      </c>
      <c r="H80" s="17">
        <f t="shared" ref="H80:H143" si="13">$C$8*D80^2/$H$9*EXP(-$H$9/($C$8*D80))*(1-2*$C$8*D80/$H$9)</f>
        <v>5.2928017078642122E-16</v>
      </c>
      <c r="I80" s="17">
        <f t="shared" ref="I80:I143" si="14">$C$8*D80^2/$I$9*EXP(-$I$9/($C$8*D80))*(1-2*$C$8*D80/$I$9)</f>
        <v>2.0714549752135409E-19</v>
      </c>
      <c r="J80" s="17">
        <f t="shared" ref="J80:J143" si="15">$C$8*D80^2/$J$9*EXP(-$J$9/($C$8*D80))*(1-2*$C$8*D80/$J$9)</f>
        <v>3.0887421290067942E-26</v>
      </c>
      <c r="K80" s="17">
        <f t="shared" ref="K80:K143" si="16">$C$8*D80^2/$K$9*EXP(-$K$9/($C$8*D80))*(1-2*$C$8*D80/$K$9)</f>
        <v>1.4385821883058877E-20</v>
      </c>
      <c r="L80" s="17">
        <f t="shared" ref="L80:L143" si="17">$C$8*D80^2/$L$9*EXP(-$L$9/($C$8*D80))*(1-2*$C$8*D80/$L$9)</f>
        <v>3.395202939145639E-27</v>
      </c>
      <c r="M80" s="17">
        <f t="shared" ref="M80:M143" si="18">$C$8*D80^2/$M$9*EXP(-$M$9/($C$8*D80))*(1-2*$C$8*D80/$M$9)</f>
        <v>2.068574853215961E-28</v>
      </c>
      <c r="N80" s="17">
        <f t="shared" ref="N80:N143" si="19">$C$8*D80^2/$N$9*EXP(-$N$9/($C$8*D80))*(1-2*$C$8*D80/$N$9)</f>
        <v>9.8883570693764269E-3</v>
      </c>
      <c r="O80" s="17">
        <f t="shared" ref="O80:O143" si="20">$C$8*D80^2/$O$9*EXP(-$O$9/($C$8*D80))*(1-2*$C$8*D80/$O$9)</f>
        <v>1.4119228053442307E-19</v>
      </c>
    </row>
    <row r="81" spans="4:15" x14ac:dyDescent="0.3">
      <c r="D81" s="17">
        <f>TL!D101</f>
        <v>422</v>
      </c>
      <c r="E81" s="17">
        <f>TL!C101</f>
        <v>57650</v>
      </c>
      <c r="F81" s="17">
        <f t="shared" si="11"/>
        <v>3.5954569607918675E-11</v>
      </c>
      <c r="G81" s="17">
        <f t="shared" si="12"/>
        <v>1.1076892714493376E-14</v>
      </c>
      <c r="H81" s="17">
        <f t="shared" si="13"/>
        <v>5.8119174940460029E-16</v>
      </c>
      <c r="I81" s="17">
        <f t="shared" si="14"/>
        <v>2.3163943966927369E-19</v>
      </c>
      <c r="J81" s="17">
        <f t="shared" si="15"/>
        <v>3.5827581370005476E-26</v>
      </c>
      <c r="K81" s="17">
        <f t="shared" si="16"/>
        <v>1.6186913806671969E-20</v>
      </c>
      <c r="L81" s="17">
        <f t="shared" si="17"/>
        <v>3.9585862812129453E-27</v>
      </c>
      <c r="M81" s="17">
        <f t="shared" si="18"/>
        <v>2.4276379685600742E-28</v>
      </c>
      <c r="N81" s="17">
        <f t="shared" si="19"/>
        <v>1.012432664417205E-2</v>
      </c>
      <c r="O81" s="17">
        <f t="shared" si="20"/>
        <v>1.5802824579053746E-19</v>
      </c>
    </row>
    <row r="82" spans="4:15" x14ac:dyDescent="0.3">
      <c r="D82" s="17">
        <f>TL!D102</f>
        <v>424</v>
      </c>
      <c r="E82" s="17">
        <f>TL!C102</f>
        <v>61538</v>
      </c>
      <c r="F82" s="17">
        <f t="shared" si="11"/>
        <v>4.115786317986847E-11</v>
      </c>
      <c r="G82" s="17">
        <f t="shared" si="12"/>
        <v>1.3159206435362192E-14</v>
      </c>
      <c r="H82" s="17">
        <f t="shared" si="13"/>
        <v>6.998835305708096E-16</v>
      </c>
      <c r="I82" s="17">
        <f t="shared" si="14"/>
        <v>2.8921015416412689E-19</v>
      </c>
      <c r="J82" s="17">
        <f t="shared" si="15"/>
        <v>4.8105129385807114E-26</v>
      </c>
      <c r="K82" s="17">
        <f t="shared" si="16"/>
        <v>2.046028888674534E-20</v>
      </c>
      <c r="L82" s="17">
        <f t="shared" si="17"/>
        <v>5.3698162866495713E-27</v>
      </c>
      <c r="M82" s="17">
        <f t="shared" si="18"/>
        <v>3.3361048947818105E-28</v>
      </c>
      <c r="N82" s="17">
        <f t="shared" si="19"/>
        <v>1.0609975333102385E-2</v>
      </c>
      <c r="O82" s="17">
        <f t="shared" si="20"/>
        <v>1.9765317748946234E-19</v>
      </c>
    </row>
    <row r="83" spans="4:15" x14ac:dyDescent="0.3">
      <c r="D83" s="17">
        <f>TL!D103</f>
        <v>426</v>
      </c>
      <c r="E83" s="17">
        <f>TL!C103</f>
        <v>66004</v>
      </c>
      <c r="F83" s="17">
        <f t="shared" si="11"/>
        <v>4.7056323227080272E-11</v>
      </c>
      <c r="G83" s="17">
        <f t="shared" si="12"/>
        <v>1.5608350346568324E-14</v>
      </c>
      <c r="H83" s="17">
        <f t="shared" si="13"/>
        <v>8.4138044729835778E-16</v>
      </c>
      <c r="I83" s="17">
        <f t="shared" si="14"/>
        <v>3.6035264292380814E-19</v>
      </c>
      <c r="J83" s="17">
        <f t="shared" si="15"/>
        <v>6.4414288412927198E-26</v>
      </c>
      <c r="K83" s="17">
        <f t="shared" si="16"/>
        <v>2.5806105120075301E-20</v>
      </c>
      <c r="L83" s="17">
        <f t="shared" si="17"/>
        <v>7.2636340207064374E-27</v>
      </c>
      <c r="M83" s="17">
        <f t="shared" si="18"/>
        <v>4.5710691501961792E-28</v>
      </c>
      <c r="N83" s="17">
        <f t="shared" si="19"/>
        <v>1.1114337513617494E-2</v>
      </c>
      <c r="O83" s="17">
        <f t="shared" si="20"/>
        <v>2.4670549425965267E-19</v>
      </c>
    </row>
    <row r="84" spans="4:15" x14ac:dyDescent="0.3">
      <c r="D84" s="17">
        <f>TL!D104</f>
        <v>427</v>
      </c>
      <c r="E84" s="17">
        <f>TL!C104</f>
        <v>69352</v>
      </c>
      <c r="F84" s="17">
        <f t="shared" si="11"/>
        <v>5.0292451729403012E-11</v>
      </c>
      <c r="G84" s="17">
        <f t="shared" si="12"/>
        <v>1.698896677416233E-14</v>
      </c>
      <c r="H84" s="17">
        <f t="shared" si="13"/>
        <v>9.2193769270993361E-16</v>
      </c>
      <c r="I84" s="17">
        <f t="shared" si="14"/>
        <v>4.0193524812014642E-19</v>
      </c>
      <c r="J84" s="17">
        <f t="shared" si="15"/>
        <v>7.4462762191261018E-26</v>
      </c>
      <c r="K84" s="17">
        <f t="shared" si="16"/>
        <v>2.8958797303027663E-20</v>
      </c>
      <c r="L84" s="17">
        <f t="shared" si="17"/>
        <v>8.4391221361764099E-27</v>
      </c>
      <c r="M84" s="17">
        <f t="shared" si="18"/>
        <v>5.3448225314718783E-28</v>
      </c>
      <c r="N84" s="17">
        <f t="shared" si="19"/>
        <v>1.1373700944925035E-2</v>
      </c>
      <c r="O84" s="17">
        <f t="shared" si="20"/>
        <v>2.7541333054954109E-19</v>
      </c>
    </row>
    <row r="85" spans="4:15" x14ac:dyDescent="0.3">
      <c r="D85" s="17">
        <f>TL!D105</f>
        <v>429</v>
      </c>
      <c r="E85" s="17">
        <f>TL!C105</f>
        <v>71547</v>
      </c>
      <c r="F85" s="17">
        <f t="shared" si="11"/>
        <v>5.7395977946627491E-11</v>
      </c>
      <c r="G85" s="17">
        <f t="shared" si="12"/>
        <v>2.0104133934158089E-14</v>
      </c>
      <c r="H85" s="17">
        <f t="shared" si="13"/>
        <v>1.1055487247953792E-15</v>
      </c>
      <c r="I85" s="17">
        <f t="shared" si="14"/>
        <v>4.9930171047459275E-19</v>
      </c>
      <c r="J85" s="17">
        <f t="shared" si="15"/>
        <v>9.9308448400139896E-26</v>
      </c>
      <c r="K85" s="17">
        <f t="shared" si="16"/>
        <v>3.6409112786517745E-20</v>
      </c>
      <c r="L85" s="17">
        <f t="shared" si="17"/>
        <v>1.1368064909708356E-26</v>
      </c>
      <c r="M85" s="17">
        <f t="shared" si="18"/>
        <v>7.2916895773230089E-28</v>
      </c>
      <c r="N85" s="17">
        <f t="shared" si="19"/>
        <v>1.1907126691705882E-2</v>
      </c>
      <c r="O85" s="17">
        <f t="shared" si="20"/>
        <v>3.4272212891786844E-19</v>
      </c>
    </row>
    <row r="86" spans="4:15" x14ac:dyDescent="0.3">
      <c r="D86" s="17">
        <f>TL!D106</f>
        <v>430</v>
      </c>
      <c r="E86" s="17">
        <f>TL!C106</f>
        <v>72845</v>
      </c>
      <c r="F86" s="17">
        <f t="shared" si="11"/>
        <v>6.1288231693928636E-11</v>
      </c>
      <c r="G86" s="17">
        <f t="shared" si="12"/>
        <v>2.185728016034722E-14</v>
      </c>
      <c r="H86" s="17">
        <f t="shared" si="13"/>
        <v>1.2098946260104943E-15</v>
      </c>
      <c r="I86" s="17">
        <f t="shared" si="14"/>
        <v>5.5608941950982765E-19</v>
      </c>
      <c r="J86" s="17">
        <f t="shared" si="15"/>
        <v>1.1457248465338478E-25</v>
      </c>
      <c r="K86" s="17">
        <f t="shared" si="16"/>
        <v>4.0792919034662978E-20</v>
      </c>
      <c r="L86" s="17">
        <f t="shared" si="17"/>
        <v>1.3180644616086348E-26</v>
      </c>
      <c r="M86" s="17">
        <f t="shared" si="18"/>
        <v>8.5076945117552578E-28</v>
      </c>
      <c r="N86" s="17">
        <f t="shared" si="19"/>
        <v>1.21813242748015E-2</v>
      </c>
      <c r="O86" s="17">
        <f t="shared" si="20"/>
        <v>3.8202890692677652E-19</v>
      </c>
    </row>
    <row r="87" spans="4:15" x14ac:dyDescent="0.3">
      <c r="D87" s="17">
        <f>TL!D107</f>
        <v>431</v>
      </c>
      <c r="E87" s="17">
        <f>TL!C107</f>
        <v>74390</v>
      </c>
      <c r="F87" s="17">
        <f t="shared" si="11"/>
        <v>6.5425157360379021E-11</v>
      </c>
      <c r="G87" s="17">
        <f t="shared" si="12"/>
        <v>2.3754328479730601E-14</v>
      </c>
      <c r="H87" s="17">
        <f t="shared" si="13"/>
        <v>1.3235484840523008E-15</v>
      </c>
      <c r="I87" s="17">
        <f t="shared" si="14"/>
        <v>6.1903269289458309E-19</v>
      </c>
      <c r="J87" s="17">
        <f t="shared" si="15"/>
        <v>1.320963589387042E-25</v>
      </c>
      <c r="K87" s="17">
        <f t="shared" si="16"/>
        <v>4.5680918395572716E-20</v>
      </c>
      <c r="L87" s="17">
        <f t="shared" si="17"/>
        <v>1.5271902351693544E-26</v>
      </c>
      <c r="M87" s="17">
        <f t="shared" si="18"/>
        <v>9.9194891585880882E-28</v>
      </c>
      <c r="N87" s="17">
        <f t="shared" si="19"/>
        <v>1.2460602722405874E-2</v>
      </c>
      <c r="O87" s="17">
        <f t="shared" si="20"/>
        <v>4.2563364871253214E-19</v>
      </c>
    </row>
    <row r="88" spans="4:15" x14ac:dyDescent="0.3">
      <c r="D88" s="17">
        <f>TL!D108</f>
        <v>433</v>
      </c>
      <c r="E88" s="17">
        <f>TL!C108</f>
        <v>74310</v>
      </c>
      <c r="F88" s="17">
        <f t="shared" si="11"/>
        <v>7.449031459389511E-11</v>
      </c>
      <c r="G88" s="17">
        <f t="shared" si="12"/>
        <v>2.8025166770337196E-14</v>
      </c>
      <c r="H88" s="17">
        <f t="shared" si="13"/>
        <v>1.5819665031063784E-15</v>
      </c>
      <c r="I88" s="17">
        <f t="shared" si="14"/>
        <v>7.6598359840152553E-19</v>
      </c>
      <c r="J88" s="17">
        <f t="shared" si="15"/>
        <v>1.7525436233292225E-25</v>
      </c>
      <c r="K88" s="17">
        <f t="shared" si="16"/>
        <v>5.7196198342795249E-20</v>
      </c>
      <c r="L88" s="17">
        <f t="shared" si="17"/>
        <v>2.0461306223579174E-26</v>
      </c>
      <c r="M88" s="17">
        <f t="shared" si="18"/>
        <v>1.3456549246138309E-27</v>
      </c>
      <c r="N88" s="17">
        <f t="shared" si="19"/>
        <v>1.3034678544314567E-2</v>
      </c>
      <c r="O88" s="17">
        <f t="shared" si="20"/>
        <v>5.2756776913765399E-19</v>
      </c>
    </row>
    <row r="89" spans="4:15" x14ac:dyDescent="0.3">
      <c r="D89" s="17">
        <f>TL!D109</f>
        <v>435</v>
      </c>
      <c r="E89" s="17">
        <f>TL!C109</f>
        <v>73095</v>
      </c>
      <c r="F89" s="17">
        <f t="shared" si="11"/>
        <v>8.4713667102871E-11</v>
      </c>
      <c r="G89" s="17">
        <f t="shared" si="12"/>
        <v>3.3014948100664989E-14</v>
      </c>
      <c r="H89" s="17">
        <f t="shared" si="13"/>
        <v>1.887816619532223E-15</v>
      </c>
      <c r="I89" s="17">
        <f t="shared" si="14"/>
        <v>9.4600247275480753E-19</v>
      </c>
      <c r="J89" s="17">
        <f t="shared" si="15"/>
        <v>2.3191862140446216E-25</v>
      </c>
      <c r="K89" s="17">
        <f t="shared" si="16"/>
        <v>7.146926732326699E-20</v>
      </c>
      <c r="L89" s="17">
        <f t="shared" si="17"/>
        <v>2.7341554111917989E-26</v>
      </c>
      <c r="M89" s="17">
        <f t="shared" si="18"/>
        <v>1.8204470958006312E-27</v>
      </c>
      <c r="N89" s="17">
        <f t="shared" si="19"/>
        <v>1.362991207320644E-2</v>
      </c>
      <c r="O89" s="17">
        <f t="shared" si="20"/>
        <v>6.5265055157427219E-19</v>
      </c>
    </row>
    <row r="90" spans="4:15" x14ac:dyDescent="0.3">
      <c r="D90" s="17">
        <f>TL!D110</f>
        <v>436</v>
      </c>
      <c r="E90" s="17">
        <f>TL!C110</f>
        <v>71103</v>
      </c>
      <c r="F90" s="17">
        <f t="shared" si="11"/>
        <v>9.0301390628577509E-11</v>
      </c>
      <c r="G90" s="17">
        <f t="shared" si="12"/>
        <v>3.5814049227098196E-14</v>
      </c>
      <c r="H90" s="17">
        <f t="shared" si="13"/>
        <v>2.0610258446189623E-15</v>
      </c>
      <c r="I90" s="17">
        <f t="shared" si="14"/>
        <v>1.0505574866618602E-18</v>
      </c>
      <c r="J90" s="17">
        <f t="shared" si="15"/>
        <v>2.6653672830809891E-25</v>
      </c>
      <c r="K90" s="17">
        <f t="shared" si="16"/>
        <v>7.9830547487311271E-20</v>
      </c>
      <c r="L90" s="17">
        <f t="shared" si="17"/>
        <v>3.1574875529282376E-26</v>
      </c>
      <c r="M90" s="17">
        <f t="shared" si="18"/>
        <v>2.1152191026581432E-27</v>
      </c>
      <c r="N90" s="17">
        <f t="shared" si="19"/>
        <v>1.3935639617536898E-2</v>
      </c>
      <c r="O90" s="17">
        <f t="shared" si="20"/>
        <v>7.2538835443394245E-19</v>
      </c>
    </row>
    <row r="91" spans="4:15" x14ac:dyDescent="0.3">
      <c r="D91" s="17">
        <f>TL!D111</f>
        <v>438</v>
      </c>
      <c r="E91" s="17">
        <f>TL!C111</f>
        <v>68707</v>
      </c>
      <c r="F91" s="17">
        <f t="shared" si="11"/>
        <v>1.0252004348228085E-10</v>
      </c>
      <c r="G91" s="17">
        <f t="shared" si="12"/>
        <v>4.2098597969127561E-14</v>
      </c>
      <c r="H91" s="17">
        <f t="shared" si="13"/>
        <v>2.4536989432079839E-15</v>
      </c>
      <c r="I91" s="17">
        <f t="shared" si="14"/>
        <v>1.2937912854521493E-18</v>
      </c>
      <c r="J91" s="17">
        <f t="shared" si="15"/>
        <v>3.5138676409468811E-25</v>
      </c>
      <c r="K91" s="17">
        <f t="shared" si="16"/>
        <v>9.9454273690476338E-20</v>
      </c>
      <c r="L91" s="17">
        <f t="shared" si="17"/>
        <v>4.2027668003102079E-26</v>
      </c>
      <c r="M91" s="17">
        <f t="shared" si="18"/>
        <v>2.8499044387022525E-27</v>
      </c>
      <c r="N91" s="17">
        <f t="shared" si="19"/>
        <v>1.456367411000802E-2</v>
      </c>
      <c r="O91" s="17">
        <f t="shared" si="20"/>
        <v>8.9481789259194311E-19</v>
      </c>
    </row>
    <row r="92" spans="4:15" x14ac:dyDescent="0.3">
      <c r="D92" s="17">
        <f>TL!D112</f>
        <v>439</v>
      </c>
      <c r="E92" s="17">
        <f>TL!C112</f>
        <v>65365</v>
      </c>
      <c r="F92" s="17">
        <f t="shared" si="11"/>
        <v>1.0919024039677169E-10</v>
      </c>
      <c r="G92" s="17">
        <f t="shared" si="12"/>
        <v>4.5618516531275935E-14</v>
      </c>
      <c r="H92" s="17">
        <f t="shared" si="13"/>
        <v>2.6757022349445069E-15</v>
      </c>
      <c r="I92" s="17">
        <f t="shared" si="14"/>
        <v>1.4347751033105819E-18</v>
      </c>
      <c r="J92" s="17">
        <f t="shared" si="15"/>
        <v>4.0308439306814062E-25</v>
      </c>
      <c r="K92" s="17">
        <f t="shared" si="16"/>
        <v>1.1092538208927415E-19</v>
      </c>
      <c r="L92" s="17">
        <f t="shared" si="17"/>
        <v>4.8441134835288665E-26</v>
      </c>
      <c r="M92" s="17">
        <f t="shared" si="18"/>
        <v>3.3046991196281477E-27</v>
      </c>
      <c r="N92" s="17">
        <f t="shared" si="19"/>
        <v>1.4886125754959029E-2</v>
      </c>
      <c r="O92" s="17">
        <f t="shared" si="20"/>
        <v>9.9314269952897209E-19</v>
      </c>
    </row>
    <row r="93" spans="4:15" x14ac:dyDescent="0.3">
      <c r="D93" s="17">
        <f>TL!D113</f>
        <v>441</v>
      </c>
      <c r="E93" s="17">
        <f>TL!C113</f>
        <v>62496</v>
      </c>
      <c r="F93" s="17">
        <f t="shared" si="11"/>
        <v>1.237581243832168E-10</v>
      </c>
      <c r="G93" s="17">
        <f t="shared" si="12"/>
        <v>5.3508934138171941E-14</v>
      </c>
      <c r="H93" s="17">
        <f t="shared" si="13"/>
        <v>3.1781298516313271E-15</v>
      </c>
      <c r="I93" s="17">
        <f t="shared" si="14"/>
        <v>1.762076197025688E-18</v>
      </c>
      <c r="J93" s="17">
        <f t="shared" si="15"/>
        <v>5.2944284714211193E-25</v>
      </c>
      <c r="K93" s="17">
        <f t="shared" si="16"/>
        <v>1.3778873775037539E-19</v>
      </c>
      <c r="L93" s="17">
        <f t="shared" si="17"/>
        <v>6.4231216852091855E-26</v>
      </c>
      <c r="M93" s="17">
        <f t="shared" si="18"/>
        <v>4.4347927277998634E-27</v>
      </c>
      <c r="N93" s="17">
        <f t="shared" si="19"/>
        <v>1.5548263466865109E-2</v>
      </c>
      <c r="O93" s="17">
        <f t="shared" si="20"/>
        <v>1.2216939393400344E-18</v>
      </c>
    </row>
    <row r="94" spans="4:15" x14ac:dyDescent="0.3">
      <c r="D94" s="17">
        <f>TL!D114</f>
        <v>442</v>
      </c>
      <c r="E94" s="17">
        <f>TL!C114</f>
        <v>59440</v>
      </c>
      <c r="F94" s="17">
        <f t="shared" si="11"/>
        <v>1.3170133712683314E-10</v>
      </c>
      <c r="G94" s="17">
        <f t="shared" si="12"/>
        <v>5.7921524755654176E-14</v>
      </c>
      <c r="H94" s="17">
        <f t="shared" si="13"/>
        <v>3.4617143345653211E-15</v>
      </c>
      <c r="I94" s="17">
        <f t="shared" si="14"/>
        <v>1.9514103934730278E-18</v>
      </c>
      <c r="J94" s="17">
        <f t="shared" si="15"/>
        <v>6.0622688665306491E-25</v>
      </c>
      <c r="K94" s="17">
        <f t="shared" si="16"/>
        <v>1.5345882442773589E-19</v>
      </c>
      <c r="L94" s="17">
        <f t="shared" si="17"/>
        <v>7.3892896862285259E-26</v>
      </c>
      <c r="M94" s="17">
        <f t="shared" si="18"/>
        <v>5.132358458168679E-27</v>
      </c>
      <c r="N94" s="17">
        <f t="shared" si="19"/>
        <v>1.5888097330957425E-2</v>
      </c>
      <c r="O94" s="17">
        <f t="shared" si="20"/>
        <v>1.354063085579052E-18</v>
      </c>
    </row>
    <row r="95" spans="4:15" x14ac:dyDescent="0.3">
      <c r="D95" s="17">
        <f>TL!D115</f>
        <v>444</v>
      </c>
      <c r="E95" s="17">
        <f>TL!C115</f>
        <v>58180</v>
      </c>
      <c r="F95" s="17">
        <f t="shared" si="11"/>
        <v>1.4902877053520271E-10</v>
      </c>
      <c r="G95" s="17">
        <f t="shared" si="12"/>
        <v>6.7797657944076304E-14</v>
      </c>
      <c r="H95" s="17">
        <f t="shared" si="13"/>
        <v>4.1024306284532005E-15</v>
      </c>
      <c r="I95" s="17">
        <f t="shared" si="14"/>
        <v>2.3900671650045164E-18</v>
      </c>
      <c r="J95" s="17">
        <f t="shared" si="15"/>
        <v>7.9338755082472416E-25</v>
      </c>
      <c r="K95" s="17">
        <f t="shared" si="16"/>
        <v>1.9007660420503446E-19</v>
      </c>
      <c r="L95" s="17">
        <f t="shared" si="17"/>
        <v>9.7612670385021012E-26</v>
      </c>
      <c r="M95" s="17">
        <f t="shared" si="18"/>
        <v>6.8605631240529724E-27</v>
      </c>
      <c r="N95" s="17">
        <f t="shared" si="19"/>
        <v>1.658566841934327E-2</v>
      </c>
      <c r="O95" s="17">
        <f t="shared" si="20"/>
        <v>1.6611189467055868E-18</v>
      </c>
    </row>
    <row r="96" spans="4:15" x14ac:dyDescent="0.3">
      <c r="D96" s="17">
        <f>TL!D116</f>
        <v>445</v>
      </c>
      <c r="E96" s="17">
        <f>TL!C116</f>
        <v>57472</v>
      </c>
      <c r="F96" s="17">
        <f t="shared" si="11"/>
        <v>1.584656563801469E-10</v>
      </c>
      <c r="G96" s="17">
        <f t="shared" si="12"/>
        <v>7.3312448741536653E-14</v>
      </c>
      <c r="H96" s="17">
        <f t="shared" si="13"/>
        <v>4.4634826916505353E-15</v>
      </c>
      <c r="I96" s="17">
        <f t="shared" si="14"/>
        <v>2.643323296149919E-18</v>
      </c>
      <c r="J96" s="17">
        <f t="shared" si="15"/>
        <v>9.0682389585945054E-25</v>
      </c>
      <c r="K96" s="17">
        <f t="shared" si="16"/>
        <v>2.1139274639031197E-19</v>
      </c>
      <c r="L96" s="17">
        <f t="shared" si="17"/>
        <v>1.1208739364376993E-25</v>
      </c>
      <c r="M96" s="17">
        <f t="shared" si="18"/>
        <v>7.9243321258676227E-27</v>
      </c>
      <c r="N96" s="17">
        <f t="shared" si="19"/>
        <v>1.6943556515318203E-2</v>
      </c>
      <c r="O96" s="17">
        <f t="shared" si="20"/>
        <v>1.8386062105143027E-18</v>
      </c>
    </row>
    <row r="97" spans="4:15" x14ac:dyDescent="0.3">
      <c r="D97" s="17">
        <f>TL!D117</f>
        <v>447</v>
      </c>
      <c r="E97" s="17">
        <f>TL!C117</f>
        <v>58022</v>
      </c>
      <c r="F97" s="17">
        <f t="shared" si="11"/>
        <v>1.7902728449715484E-10</v>
      </c>
      <c r="G97" s="17">
        <f t="shared" si="12"/>
        <v>8.5636739982217038E-14</v>
      </c>
      <c r="H97" s="17">
        <f t="shared" si="13"/>
        <v>5.2778816235105551E-15</v>
      </c>
      <c r="I97" s="17">
        <f t="shared" si="14"/>
        <v>3.2289101086318932E-18</v>
      </c>
      <c r="J97" s="17">
        <f t="shared" si="15"/>
        <v>1.1825831445026177E-24</v>
      </c>
      <c r="K97" s="17">
        <f t="shared" si="16"/>
        <v>2.6109933642890211E-19</v>
      </c>
      <c r="L97" s="17">
        <f t="shared" si="17"/>
        <v>1.4752461915863741E-25</v>
      </c>
      <c r="M97" s="17">
        <f t="shared" si="18"/>
        <v>1.055214664716255E-26</v>
      </c>
      <c r="N97" s="17">
        <f t="shared" si="19"/>
        <v>1.7677918806402716E-2</v>
      </c>
      <c r="O97" s="17">
        <f t="shared" si="20"/>
        <v>2.249496682578034E-18</v>
      </c>
    </row>
    <row r="98" spans="4:15" x14ac:dyDescent="0.3">
      <c r="D98" s="17">
        <f>TL!D118</f>
        <v>448</v>
      </c>
      <c r="E98" s="17">
        <f>TL!C118</f>
        <v>59266</v>
      </c>
      <c r="F98" s="17">
        <f t="shared" si="11"/>
        <v>1.9021282005731667E-10</v>
      </c>
      <c r="G98" s="17">
        <f t="shared" si="12"/>
        <v>9.2508460450739118E-14</v>
      </c>
      <c r="H98" s="17">
        <f t="shared" si="13"/>
        <v>5.736076664395158E-15</v>
      </c>
      <c r="I98" s="17">
        <f t="shared" si="14"/>
        <v>3.5663502576811823E-18</v>
      </c>
      <c r="J98" s="17">
        <f t="shared" si="15"/>
        <v>1.3492929194564904E-24</v>
      </c>
      <c r="K98" s="17">
        <f t="shared" si="16"/>
        <v>2.8997645044277274E-19</v>
      </c>
      <c r="L98" s="17">
        <f t="shared" si="17"/>
        <v>1.6909282482026706E-25</v>
      </c>
      <c r="M98" s="17">
        <f t="shared" si="18"/>
        <v>1.2165213559805704E-26</v>
      </c>
      <c r="N98" s="17">
        <f t="shared" si="19"/>
        <v>1.8054546919369616E-2</v>
      </c>
      <c r="O98" s="17">
        <f t="shared" si="20"/>
        <v>2.4865463966032803E-18</v>
      </c>
    </row>
    <row r="99" spans="4:15" x14ac:dyDescent="0.3">
      <c r="D99" s="17">
        <f>TL!D119</f>
        <v>450</v>
      </c>
      <c r="E99" s="17">
        <f>TL!C119</f>
        <v>61440</v>
      </c>
      <c r="F99" s="17">
        <f t="shared" si="11"/>
        <v>2.1455651978626598E-10</v>
      </c>
      <c r="G99" s="17">
        <f t="shared" si="12"/>
        <v>1.0784231426710002E-13</v>
      </c>
      <c r="H99" s="17">
        <f t="shared" si="13"/>
        <v>6.7679259111307558E-15</v>
      </c>
      <c r="I99" s="17">
        <f t="shared" si="14"/>
        <v>4.345069822616133E-18</v>
      </c>
      <c r="J99" s="17">
        <f t="shared" si="15"/>
        <v>1.7534933823061727E-24</v>
      </c>
      <c r="K99" s="17">
        <f t="shared" si="16"/>
        <v>3.5717538842444093E-19</v>
      </c>
      <c r="L99" s="17">
        <f t="shared" si="17"/>
        <v>2.2175266413236052E-25</v>
      </c>
      <c r="M99" s="17">
        <f t="shared" si="18"/>
        <v>1.6138617623125219E-26</v>
      </c>
      <c r="N99" s="17">
        <f t="shared" si="19"/>
        <v>1.882708565326166E-2</v>
      </c>
      <c r="O99" s="17">
        <f t="shared" si="20"/>
        <v>3.0342482157323556E-18</v>
      </c>
    </row>
    <row r="100" spans="4:15" x14ac:dyDescent="0.3">
      <c r="D100" s="17">
        <f>TL!D120</f>
        <v>451</v>
      </c>
      <c r="E100" s="17">
        <f>TL!C120</f>
        <v>64219</v>
      </c>
      <c r="F100" s="17">
        <f t="shared" si="11"/>
        <v>2.277847119658333E-10</v>
      </c>
      <c r="G100" s="17">
        <f t="shared" si="12"/>
        <v>1.1637977872943154E-13</v>
      </c>
      <c r="H100" s="17">
        <f t="shared" si="13"/>
        <v>7.3475577365076144E-15</v>
      </c>
      <c r="I100" s="17">
        <f t="shared" si="14"/>
        <v>4.7929617741616929E-18</v>
      </c>
      <c r="J100" s="17">
        <f t="shared" si="15"/>
        <v>1.9972423967573761E-24</v>
      </c>
      <c r="K100" s="17">
        <f t="shared" si="16"/>
        <v>3.9613752202901959E-19</v>
      </c>
      <c r="L100" s="17">
        <f t="shared" si="17"/>
        <v>2.5372032861249777E-25</v>
      </c>
      <c r="M100" s="17">
        <f t="shared" si="18"/>
        <v>1.8571098159876908E-26</v>
      </c>
      <c r="N100" s="17">
        <f t="shared" si="19"/>
        <v>1.9223153207311775E-2</v>
      </c>
      <c r="O100" s="17">
        <f t="shared" si="20"/>
        <v>3.3496307309071058E-18</v>
      </c>
    </row>
    <row r="101" spans="4:15" x14ac:dyDescent="0.3">
      <c r="D101" s="17">
        <f>TL!D121</f>
        <v>453</v>
      </c>
      <c r="E101" s="17">
        <f>TL!C121</f>
        <v>67355</v>
      </c>
      <c r="F101" s="17">
        <f t="shared" si="11"/>
        <v>2.5654155915152295E-10</v>
      </c>
      <c r="G101" s="17">
        <f t="shared" si="12"/>
        <v>1.3540284950703435E-13</v>
      </c>
      <c r="H101" s="17">
        <f t="shared" si="13"/>
        <v>8.6508164860737173E-15</v>
      </c>
      <c r="I101" s="17">
        <f t="shared" si="14"/>
        <v>5.824600423012406E-18</v>
      </c>
      <c r="J101" s="17">
        <f t="shared" si="15"/>
        <v>2.5867093879154186E-24</v>
      </c>
      <c r="K101" s="17">
        <f t="shared" si="16"/>
        <v>4.8662169534196888E-19</v>
      </c>
      <c r="L101" s="17">
        <f t="shared" si="17"/>
        <v>3.3156275186375603E-25</v>
      </c>
      <c r="M101" s="17">
        <f t="shared" si="18"/>
        <v>2.4546231935536132E-26</v>
      </c>
      <c r="N101" s="17">
        <f t="shared" si="19"/>
        <v>2.0035280759867161E-2</v>
      </c>
      <c r="O101" s="17">
        <f t="shared" si="20"/>
        <v>4.0769169812559951E-18</v>
      </c>
    </row>
    <row r="102" spans="4:15" x14ac:dyDescent="0.3">
      <c r="D102" s="17">
        <f>TL!D122</f>
        <v>454</v>
      </c>
      <c r="E102" s="17">
        <f>TL!C122</f>
        <v>71682</v>
      </c>
      <c r="F102" s="17">
        <f t="shared" si="11"/>
        <v>2.7215071321163031E-10</v>
      </c>
      <c r="G102" s="17">
        <f t="shared" si="12"/>
        <v>1.4597941279657347E-13</v>
      </c>
      <c r="H102" s="17">
        <f t="shared" si="13"/>
        <v>9.3817917861193434E-15</v>
      </c>
      <c r="I102" s="17">
        <f t="shared" si="14"/>
        <v>6.4168740908687695E-18</v>
      </c>
      <c r="J102" s="17">
        <f t="shared" si="15"/>
        <v>2.9413119138394468E-24</v>
      </c>
      <c r="K102" s="17">
        <f t="shared" si="16"/>
        <v>5.3898297933140729E-19</v>
      </c>
      <c r="L102" s="17">
        <f t="shared" si="17"/>
        <v>3.7869810015240607E-25</v>
      </c>
      <c r="M102" s="17">
        <f t="shared" si="18"/>
        <v>2.8194494494404186E-26</v>
      </c>
      <c r="N102" s="17">
        <f t="shared" si="19"/>
        <v>2.0451500673364553E-2</v>
      </c>
      <c r="O102" s="17">
        <f t="shared" si="20"/>
        <v>4.4949349413639864E-18</v>
      </c>
    </row>
    <row r="103" spans="4:15" x14ac:dyDescent="0.3">
      <c r="D103" s="17">
        <f>TL!D123</f>
        <v>456</v>
      </c>
      <c r="E103" s="17">
        <f>TL!C123</f>
        <v>76056</v>
      </c>
      <c r="F103" s="17">
        <f t="shared" si="11"/>
        <v>3.0604611791338239E-10</v>
      </c>
      <c r="G103" s="17">
        <f t="shared" si="12"/>
        <v>1.6951227660958467E-13</v>
      </c>
      <c r="H103" s="17">
        <f t="shared" si="13"/>
        <v>1.1022787213091694E-14</v>
      </c>
      <c r="I103" s="17">
        <f t="shared" si="14"/>
        <v>7.7785173232157817E-18</v>
      </c>
      <c r="J103" s="17">
        <f t="shared" si="15"/>
        <v>3.7966970798859369E-24</v>
      </c>
      <c r="K103" s="17">
        <f t="shared" si="16"/>
        <v>6.6034393257837731E-19</v>
      </c>
      <c r="L103" s="17">
        <f t="shared" si="17"/>
        <v>4.9317432549639777E-25</v>
      </c>
      <c r="M103" s="17">
        <f t="shared" si="18"/>
        <v>3.7131592633639137E-26</v>
      </c>
      <c r="N103" s="17">
        <f t="shared" si="19"/>
        <v>2.1304656255614958E-2</v>
      </c>
      <c r="O103" s="17">
        <f t="shared" si="20"/>
        <v>5.4570841179109649E-18</v>
      </c>
    </row>
    <row r="104" spans="4:15" x14ac:dyDescent="0.3">
      <c r="D104" s="17">
        <f>TL!D124</f>
        <v>457</v>
      </c>
      <c r="E104" s="17">
        <f>TL!C124</f>
        <v>80880</v>
      </c>
      <c r="F104" s="17">
        <f t="shared" si="11"/>
        <v>3.244247172634258E-10</v>
      </c>
      <c r="G104" s="17">
        <f t="shared" si="12"/>
        <v>1.8257810859954926E-13</v>
      </c>
      <c r="H104" s="17">
        <f t="shared" si="13"/>
        <v>1.1941814611804477E-14</v>
      </c>
      <c r="I104" s="17">
        <f t="shared" si="14"/>
        <v>8.5588437782648224E-18</v>
      </c>
      <c r="J104" s="17">
        <f t="shared" si="15"/>
        <v>4.3100321833577363E-24</v>
      </c>
      <c r="K104" s="17">
        <f t="shared" si="16"/>
        <v>7.3043947310026968E-19</v>
      </c>
      <c r="L104" s="17">
        <f t="shared" si="17"/>
        <v>5.6232016018014328E-25</v>
      </c>
      <c r="M104" s="17">
        <f t="shared" si="18"/>
        <v>4.2574225577544104E-26</v>
      </c>
      <c r="N104" s="17">
        <f t="shared" si="19"/>
        <v>2.1741754785384492E-2</v>
      </c>
      <c r="O104" s="17">
        <f t="shared" si="20"/>
        <v>6.0090900792664634E-18</v>
      </c>
    </row>
    <row r="105" spans="4:15" x14ac:dyDescent="0.3">
      <c r="D105" s="17">
        <f>TL!D125</f>
        <v>459</v>
      </c>
      <c r="E105" s="17">
        <f>TL!C125</f>
        <v>85404</v>
      </c>
      <c r="F105" s="17">
        <f t="shared" si="11"/>
        <v>3.6429084027007598E-10</v>
      </c>
      <c r="G105" s="17">
        <f t="shared" si="12"/>
        <v>2.1160884502819146E-13</v>
      </c>
      <c r="H105" s="17">
        <f t="shared" si="13"/>
        <v>1.4001840562002164E-14</v>
      </c>
      <c r="I105" s="17">
        <f t="shared" si="14"/>
        <v>1.0349531723373441E-17</v>
      </c>
      <c r="J105" s="17">
        <f t="shared" si="15"/>
        <v>5.5452567272348041E-24</v>
      </c>
      <c r="K105" s="17">
        <f t="shared" si="16"/>
        <v>8.9258872364644966E-19</v>
      </c>
      <c r="L105" s="17">
        <f t="shared" si="17"/>
        <v>7.2982229429912365E-25</v>
      </c>
      <c r="M105" s="17">
        <f t="shared" si="18"/>
        <v>5.5871275347624663E-26</v>
      </c>
      <c r="N105" s="17">
        <f t="shared" si="19"/>
        <v>2.2637404120987886E-2</v>
      </c>
      <c r="O105" s="17">
        <f t="shared" si="20"/>
        <v>7.2772884535846608E-18</v>
      </c>
    </row>
    <row r="106" spans="4:15" x14ac:dyDescent="0.3">
      <c r="D106" s="17">
        <f>TL!D126</f>
        <v>460</v>
      </c>
      <c r="E106" s="17">
        <f>TL!C126</f>
        <v>90470</v>
      </c>
      <c r="F106" s="17">
        <f t="shared" si="11"/>
        <v>3.8588409671497222E-10</v>
      </c>
      <c r="G106" s="17">
        <f t="shared" si="12"/>
        <v>2.2770530415687122E-13</v>
      </c>
      <c r="H106" s="17">
        <f t="shared" si="13"/>
        <v>1.5153848401926804E-14</v>
      </c>
      <c r="I106" s="17">
        <f t="shared" si="14"/>
        <v>1.1373923816405691E-17</v>
      </c>
      <c r="J106" s="17">
        <f t="shared" si="15"/>
        <v>6.2847976152180037E-24</v>
      </c>
      <c r="K106" s="17">
        <f t="shared" si="16"/>
        <v>9.8606815923619183E-19</v>
      </c>
      <c r="L106" s="17">
        <f t="shared" si="17"/>
        <v>8.3075042387421618E-25</v>
      </c>
      <c r="M106" s="17">
        <f t="shared" si="18"/>
        <v>6.3948526100268734E-26</v>
      </c>
      <c r="N106" s="17">
        <f t="shared" si="19"/>
        <v>2.309612069562967E-2</v>
      </c>
      <c r="O106" s="17">
        <f t="shared" si="20"/>
        <v>8.0035876957921723E-18</v>
      </c>
    </row>
    <row r="107" spans="4:15" x14ac:dyDescent="0.3">
      <c r="D107" s="17">
        <f>TL!D127</f>
        <v>461</v>
      </c>
      <c r="E107" s="17">
        <f>TL!C127</f>
        <v>95576</v>
      </c>
      <c r="F107" s="17">
        <f t="shared" si="11"/>
        <v>4.086586804817312E-10</v>
      </c>
      <c r="G107" s="17">
        <f t="shared" si="12"/>
        <v>2.4495040226498466E-13</v>
      </c>
      <c r="H107" s="17">
        <f t="shared" si="13"/>
        <v>1.6395158232380332E-14</v>
      </c>
      <c r="I107" s="17">
        <f t="shared" si="14"/>
        <v>1.2494704323555177E-17</v>
      </c>
      <c r="J107" s="17">
        <f t="shared" si="15"/>
        <v>7.1191640323768188E-24</v>
      </c>
      <c r="K107" s="17">
        <f t="shared" si="16"/>
        <v>1.0888767138965448E-18</v>
      </c>
      <c r="L107" s="17">
        <f t="shared" si="17"/>
        <v>9.4511338369987315E-25</v>
      </c>
      <c r="M107" s="17">
        <f t="shared" si="18"/>
        <v>7.3151297531975036E-26</v>
      </c>
      <c r="N107" s="17">
        <f t="shared" si="19"/>
        <v>2.3562209853959411E-2</v>
      </c>
      <c r="O107" s="17">
        <f t="shared" si="20"/>
        <v>8.7988207312064613E-18</v>
      </c>
    </row>
    <row r="108" spans="4:15" x14ac:dyDescent="0.3">
      <c r="D108" s="17">
        <f>TL!D128</f>
        <v>463</v>
      </c>
      <c r="E108" s="17">
        <f>TL!C128</f>
        <v>99586</v>
      </c>
      <c r="F108" s="17">
        <f t="shared" si="11"/>
        <v>4.5799080654169659E-10</v>
      </c>
      <c r="G108" s="17">
        <f t="shared" si="12"/>
        <v>2.8319700806200773E-13</v>
      </c>
      <c r="H108" s="17">
        <f t="shared" si="13"/>
        <v>1.9172082044542797E-14</v>
      </c>
      <c r="I108" s="17">
        <f t="shared" si="14"/>
        <v>1.5060519525903619E-17</v>
      </c>
      <c r="J108" s="17">
        <f t="shared" si="15"/>
        <v>9.120414363282475E-24</v>
      </c>
      <c r="K108" s="17">
        <f t="shared" si="16"/>
        <v>1.3260982260786914E-18</v>
      </c>
      <c r="L108" s="17">
        <f t="shared" si="17"/>
        <v>1.2212272101667623E-24</v>
      </c>
      <c r="M108" s="17">
        <f t="shared" si="18"/>
        <v>9.5556470543099971E-26</v>
      </c>
      <c r="N108" s="17">
        <f t="shared" si="19"/>
        <v>2.4516842719377034E-2</v>
      </c>
      <c r="O108" s="17">
        <f t="shared" si="20"/>
        <v>1.062141630919657E-17</v>
      </c>
    </row>
    <row r="109" spans="4:15" x14ac:dyDescent="0.3">
      <c r="D109" s="17">
        <f>TL!D129</f>
        <v>464</v>
      </c>
      <c r="E109" s="17">
        <f>TL!C129</f>
        <v>103558</v>
      </c>
      <c r="F109" s="17">
        <f t="shared" si="11"/>
        <v>4.8467461054581099E-10</v>
      </c>
      <c r="G109" s="17">
        <f t="shared" si="12"/>
        <v>3.043658053776409E-13</v>
      </c>
      <c r="H109" s="17">
        <f t="shared" si="13"/>
        <v>2.0722021217876091E-14</v>
      </c>
      <c r="I109" s="17">
        <f t="shared" si="14"/>
        <v>1.6524961929772106E-17</v>
      </c>
      <c r="J109" s="17">
        <f t="shared" si="15"/>
        <v>1.0314908820012984E-23</v>
      </c>
      <c r="K109" s="17">
        <f t="shared" si="16"/>
        <v>1.4625248069923843E-18</v>
      </c>
      <c r="L109" s="17">
        <f t="shared" si="17"/>
        <v>1.3870711860604853E-24</v>
      </c>
      <c r="M109" s="17">
        <f t="shared" si="18"/>
        <v>1.0912138396829187E-25</v>
      </c>
      <c r="N109" s="17">
        <f t="shared" si="19"/>
        <v>2.500555600882387E-2</v>
      </c>
      <c r="O109" s="17">
        <f t="shared" si="20"/>
        <v>1.1662800922352084E-17</v>
      </c>
    </row>
    <row r="110" spans="4:15" x14ac:dyDescent="0.3">
      <c r="D110" s="17">
        <f>TL!D130</f>
        <v>466</v>
      </c>
      <c r="E110" s="17">
        <f>TL!C130</f>
        <v>106098</v>
      </c>
      <c r="F110" s="17">
        <f t="shared" si="11"/>
        <v>5.4241482201835508E-10</v>
      </c>
      <c r="G110" s="17">
        <f t="shared" si="12"/>
        <v>3.5125163543953407E-13</v>
      </c>
      <c r="H110" s="17">
        <f t="shared" si="13"/>
        <v>2.4184345420648776E-14</v>
      </c>
      <c r="I110" s="17">
        <f t="shared" si="14"/>
        <v>1.987165388236145E-17</v>
      </c>
      <c r="J110" s="17">
        <f t="shared" si="15"/>
        <v>1.3173173495255487E-23</v>
      </c>
      <c r="K110" s="17">
        <f t="shared" si="16"/>
        <v>1.7767331958391594E-18</v>
      </c>
      <c r="L110" s="17">
        <f t="shared" si="17"/>
        <v>1.7864993221379515E-24</v>
      </c>
      <c r="M110" s="17">
        <f t="shared" si="18"/>
        <v>1.4206226676350888E-25</v>
      </c>
      <c r="N110" s="17">
        <f t="shared" si="19"/>
        <v>2.6006203782119996E-2</v>
      </c>
      <c r="O110" s="17">
        <f t="shared" si="20"/>
        <v>1.4045335881596013E-17</v>
      </c>
    </row>
    <row r="111" spans="4:15" x14ac:dyDescent="0.3">
      <c r="D111" s="17">
        <f>TL!D131</f>
        <v>468</v>
      </c>
      <c r="E111" s="17">
        <f>TL!C131</f>
        <v>108294</v>
      </c>
      <c r="F111" s="17">
        <f t="shared" si="11"/>
        <v>6.0647020571637383E-10</v>
      </c>
      <c r="G111" s="17">
        <f t="shared" si="12"/>
        <v>4.0487768549393168E-13</v>
      </c>
      <c r="H111" s="17">
        <f t="shared" si="13"/>
        <v>2.8188887626503514E-14</v>
      </c>
      <c r="I111" s="17">
        <f t="shared" si="14"/>
        <v>2.3859321545952629E-17</v>
      </c>
      <c r="J111" s="17">
        <f t="shared" si="15"/>
        <v>1.6788923100486706E-23</v>
      </c>
      <c r="K111" s="17">
        <f t="shared" si="16"/>
        <v>2.1549338669732165E-18</v>
      </c>
      <c r="L111" s="17">
        <f t="shared" si="17"/>
        <v>2.2960584973151067E-24</v>
      </c>
      <c r="M111" s="17">
        <f t="shared" si="18"/>
        <v>1.8453712838782261E-25</v>
      </c>
      <c r="N111" s="17">
        <f t="shared" si="19"/>
        <v>2.7038388559403898E-2</v>
      </c>
      <c r="O111" s="17">
        <f t="shared" si="20"/>
        <v>1.6888321954906111E-17</v>
      </c>
    </row>
    <row r="112" spans="4:15" x14ac:dyDescent="0.3">
      <c r="D112" s="17">
        <f>TL!D132</f>
        <v>469</v>
      </c>
      <c r="E112" s="17">
        <f>TL!C132</f>
        <v>110660</v>
      </c>
      <c r="F112" s="17">
        <f t="shared" si="11"/>
        <v>6.4106012343494357E-10</v>
      </c>
      <c r="G112" s="17">
        <f t="shared" si="12"/>
        <v>4.3449496886830176E-13</v>
      </c>
      <c r="H112" s="17">
        <f t="shared" si="13"/>
        <v>3.0418827327300808E-14</v>
      </c>
      <c r="I112" s="17">
        <f t="shared" si="14"/>
        <v>2.6128936394340554E-17</v>
      </c>
      <c r="J112" s="17">
        <f t="shared" si="15"/>
        <v>1.8939036448152179E-23</v>
      </c>
      <c r="K112" s="17">
        <f t="shared" si="16"/>
        <v>2.3717963734072113E-18</v>
      </c>
      <c r="L112" s="17">
        <f t="shared" si="17"/>
        <v>2.6009389764467897E-24</v>
      </c>
      <c r="M112" s="17">
        <f t="shared" si="18"/>
        <v>2.101496413610853E-25</v>
      </c>
      <c r="N112" s="17">
        <f t="shared" si="19"/>
        <v>2.7566524836095615E-2</v>
      </c>
      <c r="O112" s="17">
        <f t="shared" si="20"/>
        <v>1.8508161282523905E-17</v>
      </c>
    </row>
    <row r="113" spans="4:15" x14ac:dyDescent="0.3">
      <c r="D113" s="17">
        <f>TL!D133</f>
        <v>470</v>
      </c>
      <c r="E113" s="17">
        <f>TL!C133</f>
        <v>112630</v>
      </c>
      <c r="F113" s="17">
        <f t="shared" si="11"/>
        <v>6.7746851263428955E-10</v>
      </c>
      <c r="G113" s="17">
        <f t="shared" si="12"/>
        <v>4.6614266077995435E-13</v>
      </c>
      <c r="H113" s="17">
        <f t="shared" si="13"/>
        <v>3.2814816550252E-14</v>
      </c>
      <c r="I113" s="17">
        <f t="shared" si="14"/>
        <v>2.8603631456823353E-17</v>
      </c>
      <c r="J113" s="17">
        <f t="shared" si="15"/>
        <v>2.1353742668569637E-23</v>
      </c>
      <c r="K113" s="17">
        <f t="shared" si="16"/>
        <v>2.6094404587419253E-18</v>
      </c>
      <c r="L113" s="17">
        <f t="shared" si="17"/>
        <v>2.9447657710174366E-24</v>
      </c>
      <c r="M113" s="17">
        <f t="shared" si="18"/>
        <v>2.3918677133174577E-25</v>
      </c>
      <c r="N113" s="17">
        <f t="shared" si="19"/>
        <v>2.8102807294209321E-2</v>
      </c>
      <c r="O113" s="17">
        <f t="shared" si="20"/>
        <v>2.0275637632094299E-17</v>
      </c>
    </row>
    <row r="114" spans="4:15" x14ac:dyDescent="0.3">
      <c r="D114" s="17">
        <f>TL!D134</f>
        <v>472</v>
      </c>
      <c r="E114" s="17">
        <f>TL!C134</f>
        <v>114828</v>
      </c>
      <c r="F114" s="17">
        <f t="shared" si="11"/>
        <v>7.5609345431928206E-10</v>
      </c>
      <c r="G114" s="17">
        <f t="shared" si="12"/>
        <v>5.3605555921708656E-13</v>
      </c>
      <c r="H114" s="17">
        <f t="shared" si="13"/>
        <v>3.8152008681177086E-14</v>
      </c>
      <c r="I114" s="17">
        <f t="shared" si="14"/>
        <v>3.423983004909754E-17</v>
      </c>
      <c r="J114" s="17">
        <f t="shared" si="15"/>
        <v>2.7105351391008635E-23</v>
      </c>
      <c r="K114" s="17">
        <f t="shared" si="16"/>
        <v>3.1547965802446624E-18</v>
      </c>
      <c r="L114" s="17">
        <f t="shared" si="17"/>
        <v>3.7689277237635956E-24</v>
      </c>
      <c r="M114" s="17">
        <f t="shared" si="18"/>
        <v>3.0935060150641503E-25</v>
      </c>
      <c r="N114" s="17">
        <f t="shared" si="19"/>
        <v>2.9200164246909129E-2</v>
      </c>
      <c r="O114" s="17">
        <f t="shared" si="20"/>
        <v>2.4305502059802707E-17</v>
      </c>
    </row>
    <row r="115" spans="4:15" x14ac:dyDescent="0.3">
      <c r="D115" s="17">
        <f>TL!D135</f>
        <v>473</v>
      </c>
      <c r="E115" s="17">
        <f>TL!C135</f>
        <v>117890</v>
      </c>
      <c r="F115" s="17">
        <f t="shared" si="11"/>
        <v>7.9849594945466354E-10</v>
      </c>
      <c r="G115" s="17">
        <f t="shared" si="12"/>
        <v>5.7460346069762431E-13</v>
      </c>
      <c r="H115" s="17">
        <f t="shared" si="13"/>
        <v>4.1118667227899454E-14</v>
      </c>
      <c r="I115" s="17">
        <f t="shared" si="14"/>
        <v>3.7440758093356062E-17</v>
      </c>
      <c r="J115" s="17">
        <f t="shared" si="15"/>
        <v>3.0515654618231677E-23</v>
      </c>
      <c r="K115" s="17">
        <f t="shared" si="16"/>
        <v>3.4667897610330729E-18</v>
      </c>
      <c r="L115" s="17">
        <f t="shared" si="17"/>
        <v>4.2605640860644455E-24</v>
      </c>
      <c r="M115" s="17">
        <f t="shared" si="18"/>
        <v>3.5152743603680305E-25</v>
      </c>
      <c r="N115" s="17">
        <f t="shared" si="19"/>
        <v>2.9761416613063741E-2</v>
      </c>
      <c r="O115" s="17">
        <f t="shared" si="20"/>
        <v>2.6596561423202701E-17</v>
      </c>
    </row>
    <row r="116" spans="4:15" x14ac:dyDescent="0.3">
      <c r="D116" s="17">
        <f>TL!D136</f>
        <v>475</v>
      </c>
      <c r="E116" s="17">
        <f>TL!C136</f>
        <v>122054</v>
      </c>
      <c r="F116" s="17">
        <f t="shared" si="11"/>
        <v>8.8997609504438479E-10</v>
      </c>
      <c r="G116" s="17">
        <f t="shared" si="12"/>
        <v>6.5965204413538669E-13</v>
      </c>
      <c r="H116" s="17">
        <f t="shared" si="13"/>
        <v>4.771800741891057E-14</v>
      </c>
      <c r="I116" s="17">
        <f t="shared" si="14"/>
        <v>4.4718929390921695E-17</v>
      </c>
      <c r="J116" s="17">
        <f t="shared" si="15"/>
        <v>3.8620599068746163E-23</v>
      </c>
      <c r="K116" s="17">
        <f t="shared" si="16"/>
        <v>4.1815130448880593E-18</v>
      </c>
      <c r="L116" s="17">
        <f t="shared" si="17"/>
        <v>5.4363100415255128E-24</v>
      </c>
      <c r="M116" s="17">
        <f t="shared" si="18"/>
        <v>4.5319568263934125E-25</v>
      </c>
      <c r="N116" s="17">
        <f t="shared" si="19"/>
        <v>3.0909517151040972E-2</v>
      </c>
      <c r="O116" s="17">
        <f t="shared" si="20"/>
        <v>3.1811496270336601E-17</v>
      </c>
    </row>
    <row r="117" spans="4:15" x14ac:dyDescent="0.3">
      <c r="D117" s="17">
        <f>TL!D137</f>
        <v>476</v>
      </c>
      <c r="E117" s="17">
        <f>TL!C137</f>
        <v>128716</v>
      </c>
      <c r="F117" s="17">
        <f t="shared" si="11"/>
        <v>9.3926453352459512E-10</v>
      </c>
      <c r="G117" s="17">
        <f t="shared" si="12"/>
        <v>7.0648784426567281E-13</v>
      </c>
      <c r="H117" s="17">
        <f t="shared" si="13"/>
        <v>5.1381362229735965E-14</v>
      </c>
      <c r="I117" s="17">
        <f t="shared" si="14"/>
        <v>4.8845788634289533E-17</v>
      </c>
      <c r="J117" s="17">
        <f t="shared" si="15"/>
        <v>4.3416053216257767E-23</v>
      </c>
      <c r="K117" s="17">
        <f t="shared" si="16"/>
        <v>4.5897113574564707E-18</v>
      </c>
      <c r="L117" s="17">
        <f t="shared" si="17"/>
        <v>6.1361335360966739E-24</v>
      </c>
      <c r="M117" s="17">
        <f t="shared" si="18"/>
        <v>5.1417022365453003E-25</v>
      </c>
      <c r="N117" s="17">
        <f t="shared" si="19"/>
        <v>3.1496545860226793E-2</v>
      </c>
      <c r="O117" s="17">
        <f t="shared" si="20"/>
        <v>3.4771531567675252E-17</v>
      </c>
    </row>
    <row r="118" spans="4:15" x14ac:dyDescent="0.3">
      <c r="D118" s="17">
        <f>TL!D138</f>
        <v>478</v>
      </c>
      <c r="E118" s="17">
        <f>TL!C138</f>
        <v>137152</v>
      </c>
      <c r="F118" s="17">
        <f t="shared" si="11"/>
        <v>1.0454989094629675E-9</v>
      </c>
      <c r="G118" s="17">
        <f t="shared" si="12"/>
        <v>8.0969404132248498E-13</v>
      </c>
      <c r="H118" s="17">
        <f t="shared" si="13"/>
        <v>5.9519559319584913E-14</v>
      </c>
      <c r="I118" s="17">
        <f t="shared" si="14"/>
        <v>5.8214102505135067E-17</v>
      </c>
      <c r="J118" s="17">
        <f t="shared" si="15"/>
        <v>5.478806376771925E-23</v>
      </c>
      <c r="K118" s="17">
        <f t="shared" si="16"/>
        <v>5.5232195564202954E-18</v>
      </c>
      <c r="L118" s="17">
        <f t="shared" si="17"/>
        <v>7.805969467552315E-24</v>
      </c>
      <c r="M118" s="17">
        <f t="shared" si="18"/>
        <v>6.6080319762219973E-25</v>
      </c>
      <c r="N118" s="17">
        <f t="shared" si="19"/>
        <v>3.2697014785037469E-2</v>
      </c>
      <c r="O118" s="17">
        <f t="shared" si="20"/>
        <v>4.1498182932575529E-17</v>
      </c>
    </row>
    <row r="119" spans="4:15" x14ac:dyDescent="0.3">
      <c r="D119" s="17">
        <f>TL!D139</f>
        <v>479</v>
      </c>
      <c r="E119" s="17">
        <f>TL!C139</f>
        <v>146526</v>
      </c>
      <c r="F119" s="17">
        <f t="shared" si="11"/>
        <v>1.1026833828482932E-9</v>
      </c>
      <c r="G119" s="17">
        <f t="shared" si="12"/>
        <v>8.6646078589067334E-13</v>
      </c>
      <c r="H119" s="17">
        <f t="shared" si="13"/>
        <v>6.4031269018831168E-14</v>
      </c>
      <c r="I119" s="17">
        <f t="shared" si="14"/>
        <v>6.3517808625348003E-17</v>
      </c>
      <c r="J119" s="17">
        <f t="shared" si="15"/>
        <v>6.1502508780146304E-23</v>
      </c>
      <c r="K119" s="17">
        <f t="shared" si="16"/>
        <v>6.0554912584442867E-18</v>
      </c>
      <c r="L119" s="17">
        <f t="shared" si="17"/>
        <v>8.7977375785752973E-24</v>
      </c>
      <c r="M119" s="17">
        <f t="shared" si="18"/>
        <v>7.4854687565312877E-25</v>
      </c>
      <c r="N119" s="17">
        <f t="shared" si="19"/>
        <v>3.3310638151753842E-2</v>
      </c>
      <c r="O119" s="17">
        <f t="shared" si="20"/>
        <v>4.5310262871688954E-17</v>
      </c>
    </row>
    <row r="120" spans="4:15" x14ac:dyDescent="0.3">
      <c r="D120" s="17">
        <f>TL!D140</f>
        <v>481</v>
      </c>
      <c r="E120" s="17">
        <f>TL!C140</f>
        <v>155500</v>
      </c>
      <c r="F120" s="17">
        <f t="shared" si="11"/>
        <v>1.2258209385642809E-9</v>
      </c>
      <c r="G120" s="17">
        <f t="shared" si="12"/>
        <v>9.913984709360436E-13</v>
      </c>
      <c r="H120" s="17">
        <f t="shared" si="13"/>
        <v>7.4040890129730785E-14</v>
      </c>
      <c r="I120" s="17">
        <f t="shared" si="14"/>
        <v>7.553851384392417E-17</v>
      </c>
      <c r="J120" s="17">
        <f t="shared" si="15"/>
        <v>7.7391125213405105E-23</v>
      </c>
      <c r="K120" s="17">
        <f t="shared" si="16"/>
        <v>7.2706933377510705E-18</v>
      </c>
      <c r="L120" s="17">
        <f t="shared" si="17"/>
        <v>1.1158921721321418E-23</v>
      </c>
      <c r="M120" s="17">
        <f t="shared" si="18"/>
        <v>9.5906533449114002E-25</v>
      </c>
      <c r="N120" s="17">
        <f t="shared" si="19"/>
        <v>3.4565123787197699E-2</v>
      </c>
      <c r="O120" s="17">
        <f t="shared" si="20"/>
        <v>5.395928345491345E-17</v>
      </c>
    </row>
    <row r="121" spans="4:15" x14ac:dyDescent="0.3">
      <c r="D121" s="17">
        <f>TL!D141</f>
        <v>482</v>
      </c>
      <c r="E121" s="17">
        <f>TL!C141</f>
        <v>167604</v>
      </c>
      <c r="F121" s="17">
        <f t="shared" si="11"/>
        <v>1.2920434951311056E-9</v>
      </c>
      <c r="G121" s="17">
        <f t="shared" si="12"/>
        <v>1.0600371165634215E-12</v>
      </c>
      <c r="H121" s="17">
        <f t="shared" si="13"/>
        <v>7.9583005104034315E-14</v>
      </c>
      <c r="I121" s="17">
        <f t="shared" si="14"/>
        <v>8.2333383983155119E-17</v>
      </c>
      <c r="J121" s="17">
        <f t="shared" si="15"/>
        <v>8.6753129294979977E-23</v>
      </c>
      <c r="K121" s="17">
        <f t="shared" si="16"/>
        <v>7.9624589647794165E-18</v>
      </c>
      <c r="L121" s="17">
        <f t="shared" si="17"/>
        <v>1.2558331157889671E-23</v>
      </c>
      <c r="M121" s="17">
        <f t="shared" si="18"/>
        <v>1.0847589971680981E-24</v>
      </c>
      <c r="N121" s="17">
        <f t="shared" si="19"/>
        <v>3.5206171766712514E-2</v>
      </c>
      <c r="O121" s="17">
        <f t="shared" si="20"/>
        <v>5.8853213406551789E-17</v>
      </c>
    </row>
    <row r="122" spans="4:15" x14ac:dyDescent="0.3">
      <c r="D122" s="17">
        <f>TL!D142</f>
        <v>484</v>
      </c>
      <c r="E122" s="17">
        <f>TL!C142</f>
        <v>178652</v>
      </c>
      <c r="F122" s="17">
        <f t="shared" si="11"/>
        <v>1.4345118320818241E-9</v>
      </c>
      <c r="G122" s="17">
        <f t="shared" si="12"/>
        <v>1.2109233779289367E-12</v>
      </c>
      <c r="H122" s="17">
        <f t="shared" si="13"/>
        <v>9.1862769196278551E-14</v>
      </c>
      <c r="I122" s="17">
        <f t="shared" si="14"/>
        <v>9.77097371950068E-17</v>
      </c>
      <c r="J122" s="17">
        <f t="shared" si="15"/>
        <v>1.0886017782615698E-22</v>
      </c>
      <c r="K122" s="17">
        <f t="shared" si="16"/>
        <v>9.5391842700197703E-18</v>
      </c>
      <c r="L122" s="17">
        <f t="shared" si="17"/>
        <v>1.5882760671219795E-23</v>
      </c>
      <c r="M122" s="17">
        <f t="shared" si="18"/>
        <v>1.3856422210642041E-24</v>
      </c>
      <c r="N122" s="17">
        <f t="shared" si="19"/>
        <v>3.6516345472582007E-2</v>
      </c>
      <c r="O122" s="17">
        <f t="shared" si="20"/>
        <v>6.9939310130185564E-17</v>
      </c>
    </row>
    <row r="123" spans="4:15" x14ac:dyDescent="0.3">
      <c r="D123" s="17">
        <f>TL!D143</f>
        <v>485</v>
      </c>
      <c r="E123" s="17">
        <f>TL!C143</f>
        <v>188239</v>
      </c>
      <c r="F123" s="17">
        <f t="shared" si="11"/>
        <v>1.5110615263640963E-9</v>
      </c>
      <c r="G123" s="17">
        <f t="shared" si="12"/>
        <v>1.2937216800240204E-12</v>
      </c>
      <c r="H123" s="17">
        <f t="shared" si="13"/>
        <v>9.8653289923103709E-14</v>
      </c>
      <c r="I123" s="17">
        <f t="shared" si="14"/>
        <v>1.0638834390978872E-16</v>
      </c>
      <c r="J123" s="17">
        <f t="shared" si="15"/>
        <v>1.2186006823506556E-22</v>
      </c>
      <c r="K123" s="17">
        <f t="shared" si="16"/>
        <v>1.0435321848389499E-17</v>
      </c>
      <c r="L123" s="17">
        <f t="shared" si="17"/>
        <v>1.7848959985183009E-23</v>
      </c>
      <c r="M123" s="17">
        <f t="shared" si="18"/>
        <v>1.5648998980861753E-24</v>
      </c>
      <c r="N123" s="17">
        <f t="shared" si="19"/>
        <v>3.718565941348323E-2</v>
      </c>
      <c r="O123" s="17">
        <f t="shared" si="20"/>
        <v>7.6202701819748027E-17</v>
      </c>
    </row>
    <row r="124" spans="4:15" x14ac:dyDescent="0.3">
      <c r="D124" s="17">
        <f>TL!D144</f>
        <v>487</v>
      </c>
      <c r="E124" s="17">
        <f>TL!C144</f>
        <v>193439</v>
      </c>
      <c r="F124" s="17">
        <f t="shared" si="11"/>
        <v>1.6755984264842197E-9</v>
      </c>
      <c r="G124" s="17">
        <f t="shared" si="12"/>
        <v>1.4755215621072918E-12</v>
      </c>
      <c r="H124" s="17">
        <f t="shared" si="13"/>
        <v>1.1368007365502941E-13</v>
      </c>
      <c r="I124" s="17">
        <f t="shared" si="14"/>
        <v>1.2599739289402318E-16</v>
      </c>
      <c r="J124" s="17">
        <f t="shared" si="15"/>
        <v>1.5249413832030065E-22</v>
      </c>
      <c r="K124" s="17">
        <f t="shared" si="16"/>
        <v>1.2474555911957351E-17</v>
      </c>
      <c r="L124" s="17">
        <f t="shared" si="17"/>
        <v>2.25098645264023E-23</v>
      </c>
      <c r="M124" s="17">
        <f t="shared" si="18"/>
        <v>1.993045145654732E-24</v>
      </c>
      <c r="N124" s="17">
        <f t="shared" si="19"/>
        <v>3.8553215082176462E-2</v>
      </c>
      <c r="O124" s="17">
        <f t="shared" si="20"/>
        <v>9.0369092818467344E-17</v>
      </c>
    </row>
    <row r="125" spans="4:15" x14ac:dyDescent="0.3">
      <c r="D125" s="17">
        <f>TL!D145</f>
        <v>488</v>
      </c>
      <c r="E125" s="17">
        <f>TL!C145</f>
        <v>193510</v>
      </c>
      <c r="F125" s="17">
        <f t="shared" si="11"/>
        <v>1.7639278225892184E-9</v>
      </c>
      <c r="G125" s="17">
        <f t="shared" si="12"/>
        <v>1.5751701223432333E-12</v>
      </c>
      <c r="H125" s="17">
        <f t="shared" si="13"/>
        <v>1.2197942634258317E-13</v>
      </c>
      <c r="I125" s="17">
        <f t="shared" si="14"/>
        <v>1.3704862232231688E-16</v>
      </c>
      <c r="J125" s="17">
        <f t="shared" si="15"/>
        <v>1.7047273204649562E-22</v>
      </c>
      <c r="K125" s="17">
        <f t="shared" si="16"/>
        <v>1.3631750874089024E-17</v>
      </c>
      <c r="L125" s="17">
        <f t="shared" si="17"/>
        <v>2.5260876945764962E-23</v>
      </c>
      <c r="M125" s="17">
        <f t="shared" si="18"/>
        <v>2.2475784802805952E-24</v>
      </c>
      <c r="N125" s="17">
        <f t="shared" si="19"/>
        <v>3.9251647470496157E-2</v>
      </c>
      <c r="O125" s="17">
        <f t="shared" si="20"/>
        <v>9.8360849901940576E-17</v>
      </c>
    </row>
    <row r="126" spans="4:15" x14ac:dyDescent="0.3">
      <c r="D126" s="17">
        <f>TL!D146</f>
        <v>490</v>
      </c>
      <c r="E126" s="17">
        <f>TL!C146</f>
        <v>188034</v>
      </c>
      <c r="F126" s="17">
        <f t="shared" si="11"/>
        <v>1.9536157958436838E-9</v>
      </c>
      <c r="G126" s="17">
        <f t="shared" si="12"/>
        <v>1.7937165827259113E-12</v>
      </c>
      <c r="H126" s="17">
        <f t="shared" si="13"/>
        <v>1.403222354512678E-13</v>
      </c>
      <c r="I126" s="17">
        <f t="shared" si="14"/>
        <v>1.6198100538685245E-16</v>
      </c>
      <c r="J126" s="17">
        <f t="shared" si="15"/>
        <v>2.1275326655604901E-22</v>
      </c>
      <c r="K126" s="17">
        <f t="shared" si="16"/>
        <v>1.626085214153422E-17</v>
      </c>
      <c r="L126" s="17">
        <f t="shared" si="17"/>
        <v>3.176850675053318E-23</v>
      </c>
      <c r="M126" s="17">
        <f t="shared" si="18"/>
        <v>2.8541819182299365E-24</v>
      </c>
      <c r="N126" s="17">
        <f t="shared" si="19"/>
        <v>4.0678301007055918E-2</v>
      </c>
      <c r="O126" s="17">
        <f t="shared" si="20"/>
        <v>1.1640901705578824E-16</v>
      </c>
    </row>
    <row r="127" spans="4:15" x14ac:dyDescent="0.3">
      <c r="D127" s="17">
        <f>TL!D147</f>
        <v>491</v>
      </c>
      <c r="E127" s="17">
        <f>TL!C147</f>
        <v>177556</v>
      </c>
      <c r="F127" s="17">
        <f t="shared" si="11"/>
        <v>2.0553590374817046E-9</v>
      </c>
      <c r="G127" s="17">
        <f t="shared" si="12"/>
        <v>1.9133729732275156E-12</v>
      </c>
      <c r="H127" s="17">
        <f t="shared" si="13"/>
        <v>1.5044079950296779E-13</v>
      </c>
      <c r="I127" s="17">
        <f t="shared" si="14"/>
        <v>1.7601195041504829E-16</v>
      </c>
      <c r="J127" s="17">
        <f t="shared" si="15"/>
        <v>2.3751888073304735E-22</v>
      </c>
      <c r="K127" s="17">
        <f t="shared" si="16"/>
        <v>1.7750487257781646E-17</v>
      </c>
      <c r="L127" s="17">
        <f t="shared" si="17"/>
        <v>3.5601810014652919E-23</v>
      </c>
      <c r="M127" s="17">
        <f t="shared" si="18"/>
        <v>3.2140546183359325E-24</v>
      </c>
      <c r="N127" s="17">
        <f t="shared" si="19"/>
        <v>4.1406715202248284E-2</v>
      </c>
      <c r="O127" s="17">
        <f t="shared" si="20"/>
        <v>1.2657571820511204E-16</v>
      </c>
    </row>
    <row r="128" spans="4:15" x14ac:dyDescent="0.3">
      <c r="D128" s="17">
        <f>TL!D148</f>
        <v>493</v>
      </c>
      <c r="E128" s="17">
        <f>TL!C148</f>
        <v>162813</v>
      </c>
      <c r="F128" s="17">
        <f t="shared" si="11"/>
        <v>2.2736631206822793E-9</v>
      </c>
      <c r="G128" s="17">
        <f t="shared" si="12"/>
        <v>2.1755039869752339E-12</v>
      </c>
      <c r="H128" s="17">
        <f t="shared" si="13"/>
        <v>1.7277699147890823E-13</v>
      </c>
      <c r="I128" s="17">
        <f t="shared" si="14"/>
        <v>2.0762008182028934E-16</v>
      </c>
      <c r="J128" s="17">
        <f t="shared" si="15"/>
        <v>2.9564480208518786E-22</v>
      </c>
      <c r="K128" s="17">
        <f t="shared" si="16"/>
        <v>2.1129593267848572E-17</v>
      </c>
      <c r="L128" s="17">
        <f t="shared" si="17"/>
        <v>4.4650963289567607E-23</v>
      </c>
      <c r="M128" s="17">
        <f t="shared" si="18"/>
        <v>4.0698571322979179E-24</v>
      </c>
      <c r="N128" s="17">
        <f t="shared" si="19"/>
        <v>4.2894203988394261E-2</v>
      </c>
      <c r="O128" s="17">
        <f t="shared" si="20"/>
        <v>1.4950150229218265E-16</v>
      </c>
    </row>
    <row r="129" spans="4:15" x14ac:dyDescent="0.3">
      <c r="D129" s="17">
        <f>TL!D149</f>
        <v>494</v>
      </c>
      <c r="E129" s="17">
        <f>TL!C149</f>
        <v>144111</v>
      </c>
      <c r="F129" s="17">
        <f t="shared" si="11"/>
        <v>2.3906556871700109E-9</v>
      </c>
      <c r="G129" s="17">
        <f t="shared" si="12"/>
        <v>2.3188659680726563E-12</v>
      </c>
      <c r="H129" s="17">
        <f t="shared" si="13"/>
        <v>1.8508383043275479E-13</v>
      </c>
      <c r="I129" s="17">
        <f t="shared" si="14"/>
        <v>2.2538251303533602E-16</v>
      </c>
      <c r="J129" s="17">
        <f t="shared" si="15"/>
        <v>3.2962698364159683E-22</v>
      </c>
      <c r="K129" s="17">
        <f t="shared" si="16"/>
        <v>2.3041292485180742E-17</v>
      </c>
      <c r="L129" s="17">
        <f t="shared" si="17"/>
        <v>4.9970844829598049E-23</v>
      </c>
      <c r="M129" s="17">
        <f t="shared" si="18"/>
        <v>4.576526250889373E-24</v>
      </c>
      <c r="N129" s="17">
        <f t="shared" si="19"/>
        <v>4.3653473951452602E-2</v>
      </c>
      <c r="O129" s="17">
        <f t="shared" si="20"/>
        <v>1.6239725012762531E-16</v>
      </c>
    </row>
    <row r="130" spans="4:15" x14ac:dyDescent="0.3">
      <c r="D130" s="17">
        <f>TL!D150</f>
        <v>496</v>
      </c>
      <c r="E130" s="17">
        <f>TL!C150</f>
        <v>122662</v>
      </c>
      <c r="F130" s="17">
        <f t="shared" si="11"/>
        <v>2.6414647390294869E-9</v>
      </c>
      <c r="G130" s="17">
        <f t="shared" si="12"/>
        <v>2.6325809193134974E-12</v>
      </c>
      <c r="H130" s="17">
        <f t="shared" si="13"/>
        <v>2.1221791033319295E-13</v>
      </c>
      <c r="I130" s="17">
        <f t="shared" si="14"/>
        <v>2.6533876548920318E-16</v>
      </c>
      <c r="J130" s="17">
        <f t="shared" si="15"/>
        <v>4.0922896125839016E-22</v>
      </c>
      <c r="K130" s="17">
        <f t="shared" si="16"/>
        <v>2.7371164334155116E-17</v>
      </c>
      <c r="L130" s="17">
        <f t="shared" si="17"/>
        <v>6.2503920066222085E-23</v>
      </c>
      <c r="M130" s="17">
        <f t="shared" si="18"/>
        <v>5.7788757639348127E-24</v>
      </c>
      <c r="N130" s="17">
        <f t="shared" si="19"/>
        <v>4.5203556294175128E-2</v>
      </c>
      <c r="O130" s="17">
        <f t="shared" si="20"/>
        <v>1.9143452257367388E-16</v>
      </c>
    </row>
    <row r="131" spans="4:15" x14ac:dyDescent="0.3">
      <c r="D131" s="17">
        <f>TL!D151</f>
        <v>497</v>
      </c>
      <c r="E131" s="17">
        <f>TL!C151</f>
        <v>99304</v>
      </c>
      <c r="F131" s="17">
        <f t="shared" si="11"/>
        <v>2.7757650130186568E-9</v>
      </c>
      <c r="G131" s="17">
        <f t="shared" si="12"/>
        <v>2.8039698760965072E-12</v>
      </c>
      <c r="H131" s="17">
        <f t="shared" si="13"/>
        <v>2.271508768937488E-13</v>
      </c>
      <c r="I131" s="17">
        <f t="shared" si="14"/>
        <v>2.8776105235255097E-16</v>
      </c>
      <c r="J131" s="17">
        <f t="shared" si="15"/>
        <v>4.5567972194948035E-22</v>
      </c>
      <c r="K131" s="17">
        <f t="shared" si="16"/>
        <v>2.9817126237057865E-17</v>
      </c>
      <c r="L131" s="17">
        <f t="shared" si="17"/>
        <v>6.9857700367705263E-23</v>
      </c>
      <c r="M131" s="17">
        <f t="shared" si="18"/>
        <v>6.4892781463596431E-24</v>
      </c>
      <c r="N131" s="17">
        <f t="shared" si="19"/>
        <v>4.5994566308172495E-2</v>
      </c>
      <c r="O131" s="17">
        <f t="shared" si="20"/>
        <v>2.077449273725467E-16</v>
      </c>
    </row>
    <row r="132" spans="4:15" x14ac:dyDescent="0.3">
      <c r="D132" s="17">
        <f>TL!D152</f>
        <v>499</v>
      </c>
      <c r="E132" s="17">
        <f>TL!C152</f>
        <v>76150</v>
      </c>
      <c r="F132" s="17">
        <f t="shared" si="11"/>
        <v>3.06343676356706E-9</v>
      </c>
      <c r="G132" s="17">
        <f t="shared" si="12"/>
        <v>3.1786076028547842E-12</v>
      </c>
      <c r="H132" s="17">
        <f t="shared" si="13"/>
        <v>2.6003622802244724E-13</v>
      </c>
      <c r="I132" s="17">
        <f t="shared" si="14"/>
        <v>3.3812782641652975E-16</v>
      </c>
      <c r="J132" s="17">
        <f t="shared" si="15"/>
        <v>5.6428045518958173E-22</v>
      </c>
      <c r="K132" s="17">
        <f t="shared" si="16"/>
        <v>3.5348727439536849E-17</v>
      </c>
      <c r="L132" s="17">
        <f t="shared" si="17"/>
        <v>8.7148030956511447E-23</v>
      </c>
      <c r="M132" s="17">
        <f t="shared" si="18"/>
        <v>8.1716001066244383E-24</v>
      </c>
      <c r="N132" s="17">
        <f t="shared" si="19"/>
        <v>4.760902087345998E-2</v>
      </c>
      <c r="O132" s="17">
        <f t="shared" si="20"/>
        <v>2.4441828911423897E-16</v>
      </c>
    </row>
    <row r="133" spans="4:15" x14ac:dyDescent="0.3">
      <c r="D133" s="17">
        <f>TL!D153</f>
        <v>501</v>
      </c>
      <c r="E133" s="17">
        <f>TL!C153</f>
        <v>55754</v>
      </c>
      <c r="F133" s="17">
        <f t="shared" si="11"/>
        <v>3.3783582361519805E-9</v>
      </c>
      <c r="G133" s="17">
        <f t="shared" si="12"/>
        <v>3.5998009970510735E-12</v>
      </c>
      <c r="H133" s="17">
        <f t="shared" si="13"/>
        <v>2.9737017538020331E-13</v>
      </c>
      <c r="I133" s="17">
        <f t="shared" si="14"/>
        <v>3.9681094902895873E-16</v>
      </c>
      <c r="J133" s="17">
        <f t="shared" si="15"/>
        <v>6.9759351400229915E-22</v>
      </c>
      <c r="K133" s="17">
        <f t="shared" si="16"/>
        <v>4.185090496306448E-17</v>
      </c>
      <c r="L133" s="17">
        <f t="shared" si="17"/>
        <v>1.0852939999351491E-22</v>
      </c>
      <c r="M133" s="17">
        <f t="shared" si="18"/>
        <v>1.0271453412761021E-23</v>
      </c>
      <c r="N133" s="17">
        <f t="shared" si="19"/>
        <v>4.9267388192998363E-2</v>
      </c>
      <c r="O133" s="17">
        <f t="shared" si="20"/>
        <v>2.8720129038148498E-16</v>
      </c>
    </row>
    <row r="134" spans="4:15" x14ac:dyDescent="0.3">
      <c r="D134" s="17">
        <f>TL!D154</f>
        <v>502</v>
      </c>
      <c r="E134" s="17">
        <f>TL!C154</f>
        <v>38540</v>
      </c>
      <c r="F134" s="17">
        <f t="shared" si="11"/>
        <v>3.5467596688677728E-9</v>
      </c>
      <c r="G134" s="17">
        <f t="shared" si="12"/>
        <v>3.8295045465812694E-12</v>
      </c>
      <c r="H134" s="17">
        <f t="shared" si="13"/>
        <v>3.178775899450764E-13</v>
      </c>
      <c r="I134" s="17">
        <f t="shared" si="14"/>
        <v>4.2966722258672835E-16</v>
      </c>
      <c r="J134" s="17">
        <f t="shared" si="15"/>
        <v>7.7515025379238741E-22</v>
      </c>
      <c r="K134" s="17">
        <f t="shared" si="16"/>
        <v>4.5515170813102902E-17</v>
      </c>
      <c r="L134" s="17">
        <f t="shared" si="17"/>
        <v>1.2103544153485753E-22</v>
      </c>
      <c r="M134" s="17">
        <f t="shared" si="18"/>
        <v>1.1508070034329213E-23</v>
      </c>
      <c r="N134" s="17">
        <f t="shared" si="19"/>
        <v>5.0113290489072218E-2</v>
      </c>
      <c r="O134" s="17">
        <f t="shared" si="20"/>
        <v>3.1117758086524266E-16</v>
      </c>
    </row>
    <row r="135" spans="4:15" x14ac:dyDescent="0.3">
      <c r="D135" s="17">
        <f>TL!D155</f>
        <v>503</v>
      </c>
      <c r="E135" s="17">
        <f>TL!C155</f>
        <v>25206</v>
      </c>
      <c r="F135" s="17">
        <f t="shared" si="11"/>
        <v>3.7228617618255732E-9</v>
      </c>
      <c r="G135" s="17">
        <f t="shared" si="12"/>
        <v>4.0728934320668301E-12</v>
      </c>
      <c r="H135" s="17">
        <f t="shared" si="13"/>
        <v>3.3971166028999168E-13</v>
      </c>
      <c r="I135" s="17">
        <f t="shared" si="14"/>
        <v>4.6510035931009927E-16</v>
      </c>
      <c r="J135" s="17">
        <f t="shared" si="15"/>
        <v>8.6097513205575218E-22</v>
      </c>
      <c r="K135" s="17">
        <f t="shared" si="16"/>
        <v>4.9484116349645129E-17</v>
      </c>
      <c r="L135" s="17">
        <f t="shared" si="17"/>
        <v>1.3492508068443584E-22</v>
      </c>
      <c r="M135" s="17">
        <f t="shared" si="18"/>
        <v>1.2887838782755037E-23</v>
      </c>
      <c r="N135" s="17">
        <f t="shared" si="19"/>
        <v>5.0970473301734522E-2</v>
      </c>
      <c r="O135" s="17">
        <f t="shared" si="20"/>
        <v>3.3705051992935251E-16</v>
      </c>
    </row>
    <row r="136" spans="4:15" x14ac:dyDescent="0.3">
      <c r="D136" s="17">
        <f>TL!D156</f>
        <v>505</v>
      </c>
      <c r="E136" s="17">
        <f>TL!C156</f>
        <v>15966</v>
      </c>
      <c r="F136" s="17">
        <f t="shared" si="11"/>
        <v>4.0994572733310479E-9</v>
      </c>
      <c r="G136" s="17">
        <f t="shared" si="12"/>
        <v>4.60378972469188E-12</v>
      </c>
      <c r="H136" s="17">
        <f t="shared" si="13"/>
        <v>3.876843680026907E-13</v>
      </c>
      <c r="I136" s="17">
        <f t="shared" si="14"/>
        <v>5.4447300773632596E-16</v>
      </c>
      <c r="J136" s="17">
        <f t="shared" si="15"/>
        <v>1.0608842940467232E-21</v>
      </c>
      <c r="K136" s="17">
        <f t="shared" si="16"/>
        <v>5.8433701851854199E-17</v>
      </c>
      <c r="L136" s="17">
        <f t="shared" si="17"/>
        <v>1.6745658242363083E-22</v>
      </c>
      <c r="M136" s="17">
        <f t="shared" si="18"/>
        <v>1.6142130714058127E-23</v>
      </c>
      <c r="N136" s="17">
        <f t="shared" si="19"/>
        <v>5.2719086829556311E-2</v>
      </c>
      <c r="O136" s="17">
        <f t="shared" si="20"/>
        <v>3.9506263208460554E-16</v>
      </c>
    </row>
    <row r="137" spans="4:15" x14ac:dyDescent="0.3">
      <c r="D137" s="17">
        <f>TL!D157</f>
        <v>506</v>
      </c>
      <c r="E137" s="17">
        <f>TL!C157</f>
        <v>10318</v>
      </c>
      <c r="F137" s="17">
        <f t="shared" si="11"/>
        <v>4.3006253233571647E-9</v>
      </c>
      <c r="G137" s="17">
        <f t="shared" si="12"/>
        <v>4.8929261396912079E-12</v>
      </c>
      <c r="H137" s="17">
        <f t="shared" si="13"/>
        <v>4.139967077021486E-13</v>
      </c>
      <c r="I137" s="17">
        <f t="shared" si="14"/>
        <v>5.8883436478003802E-16</v>
      </c>
      <c r="J137" s="17">
        <f t="shared" si="15"/>
        <v>1.1769087920624395E-21</v>
      </c>
      <c r="K137" s="17">
        <f t="shared" si="16"/>
        <v>6.346773387708172E-17</v>
      </c>
      <c r="L137" s="17">
        <f t="shared" si="17"/>
        <v>1.8643772561708745E-22</v>
      </c>
      <c r="M137" s="17">
        <f t="shared" si="18"/>
        <v>1.8053702565596337E-23</v>
      </c>
      <c r="N137" s="17">
        <f t="shared" si="19"/>
        <v>5.3610721572627473E-2</v>
      </c>
      <c r="O137" s="17">
        <f t="shared" si="20"/>
        <v>4.2751541646973531E-16</v>
      </c>
    </row>
    <row r="138" spans="4:15" x14ac:dyDescent="0.3">
      <c r="D138" s="17">
        <f>TL!D158</f>
        <v>508</v>
      </c>
      <c r="E138" s="17">
        <f>TL!C158</f>
        <v>6960</v>
      </c>
      <c r="F138" s="17">
        <f t="shared" si="11"/>
        <v>4.7304825614563017E-9</v>
      </c>
      <c r="G138" s="17">
        <f t="shared" si="12"/>
        <v>5.5229603986564967E-12</v>
      </c>
      <c r="H138" s="17">
        <f t="shared" si="13"/>
        <v>4.717443004089232E-13</v>
      </c>
      <c r="I138" s="17">
        <f t="shared" si="14"/>
        <v>6.8807298438897478E-16</v>
      </c>
      <c r="J138" s="17">
        <f t="shared" si="15"/>
        <v>1.4466707682511411E-21</v>
      </c>
      <c r="K138" s="17">
        <f t="shared" si="16"/>
        <v>7.4802801379370912E-17</v>
      </c>
      <c r="L138" s="17">
        <f t="shared" si="17"/>
        <v>2.3081067670752101E-22</v>
      </c>
      <c r="M138" s="17">
        <f t="shared" si="18"/>
        <v>2.2553439740241582E-23</v>
      </c>
      <c r="N138" s="17">
        <f t="shared" si="19"/>
        <v>5.5429159601269873E-2</v>
      </c>
      <c r="O138" s="17">
        <f t="shared" si="20"/>
        <v>5.0018197249514803E-16</v>
      </c>
    </row>
    <row r="139" spans="4:15" x14ac:dyDescent="0.3">
      <c r="D139" s="17">
        <f>TL!D159</f>
        <v>510</v>
      </c>
      <c r="E139" s="17">
        <f>TL!C159</f>
        <v>5302</v>
      </c>
      <c r="F139" s="17">
        <f t="shared" si="11"/>
        <v>5.1995624700072728E-9</v>
      </c>
      <c r="G139" s="17">
        <f t="shared" si="12"/>
        <v>6.2283784434547703E-12</v>
      </c>
      <c r="H139" s="17">
        <f t="shared" si="13"/>
        <v>5.3701214884869129E-13</v>
      </c>
      <c r="I139" s="17">
        <f t="shared" si="14"/>
        <v>8.0307846045779897E-16</v>
      </c>
      <c r="J139" s="17">
        <f t="shared" si="15"/>
        <v>1.7754420106807744E-21</v>
      </c>
      <c r="K139" s="17">
        <f t="shared" si="16"/>
        <v>8.8051282771896922E-17</v>
      </c>
      <c r="L139" s="17">
        <f t="shared" si="17"/>
        <v>2.8527494091370198E-22</v>
      </c>
      <c r="M139" s="17">
        <f t="shared" si="18"/>
        <v>2.8126401288319581E-23</v>
      </c>
      <c r="N139" s="17">
        <f t="shared" si="19"/>
        <v>5.7295176304548834E-2</v>
      </c>
      <c r="O139" s="17">
        <f t="shared" si="20"/>
        <v>5.8449690186689771E-16</v>
      </c>
    </row>
    <row r="140" spans="4:15" x14ac:dyDescent="0.3">
      <c r="D140" s="17">
        <f>TL!D160</f>
        <v>511</v>
      </c>
      <c r="E140" s="17">
        <f>TL!C160</f>
        <v>4372</v>
      </c>
      <c r="F140" s="17">
        <f t="shared" si="11"/>
        <v>5.4498108135465633E-9</v>
      </c>
      <c r="G140" s="17">
        <f t="shared" si="12"/>
        <v>6.61192471027982E-12</v>
      </c>
      <c r="H140" s="17">
        <f t="shared" si="13"/>
        <v>5.727462881119492E-13</v>
      </c>
      <c r="I140" s="17">
        <f t="shared" si="14"/>
        <v>8.6721621426461431E-16</v>
      </c>
      <c r="J140" s="17">
        <f t="shared" si="15"/>
        <v>1.965706203831386E-21</v>
      </c>
      <c r="K140" s="17">
        <f t="shared" si="16"/>
        <v>9.5486384245381005E-17</v>
      </c>
      <c r="L140" s="17">
        <f t="shared" si="17"/>
        <v>3.1695835604172061E-22</v>
      </c>
      <c r="M140" s="17">
        <f t="shared" si="18"/>
        <v>3.1389771582192831E-23</v>
      </c>
      <c r="N140" s="17">
        <f t="shared" si="19"/>
        <v>5.8246285601465254E-2</v>
      </c>
      <c r="O140" s="17">
        <f t="shared" si="20"/>
        <v>6.3156117418155182E-16</v>
      </c>
    </row>
    <row r="141" spans="4:15" x14ac:dyDescent="0.3">
      <c r="D141" s="17">
        <f>TL!D161</f>
        <v>512</v>
      </c>
      <c r="E141" s="17">
        <f>TL!C161</f>
        <v>3910</v>
      </c>
      <c r="F141" s="17">
        <f t="shared" si="11"/>
        <v>5.7110936301972257E-9</v>
      </c>
      <c r="G141" s="17">
        <f t="shared" si="12"/>
        <v>7.017501081233695E-12</v>
      </c>
      <c r="H141" s="17">
        <f t="shared" si="13"/>
        <v>6.1070889891428536E-13</v>
      </c>
      <c r="I141" s="17">
        <f t="shared" si="14"/>
        <v>9.3620202809977325E-16</v>
      </c>
      <c r="J141" s="17">
        <f t="shared" si="15"/>
        <v>2.1755105796220348E-21</v>
      </c>
      <c r="K141" s="17">
        <f t="shared" si="16"/>
        <v>1.0351727342357428E-16</v>
      </c>
      <c r="L141" s="17">
        <f t="shared" si="17"/>
        <v>3.5201835137145064E-22</v>
      </c>
      <c r="M141" s="17">
        <f t="shared" si="18"/>
        <v>3.5017013650110471E-23</v>
      </c>
      <c r="N141" s="17">
        <f t="shared" si="19"/>
        <v>5.9209600932376621E-2</v>
      </c>
      <c r="O141" s="17">
        <f t="shared" si="20"/>
        <v>6.8221361376744007E-16</v>
      </c>
    </row>
    <row r="142" spans="4:15" x14ac:dyDescent="0.3">
      <c r="D142" s="17">
        <f>TL!D162</f>
        <v>514</v>
      </c>
      <c r="E142" s="17">
        <f>TL!C162</f>
        <v>3680</v>
      </c>
      <c r="F142" s="17">
        <f t="shared" si="11"/>
        <v>6.2685405317739029E-9</v>
      </c>
      <c r="G142" s="17">
        <f t="shared" si="12"/>
        <v>7.8994886670868618E-12</v>
      </c>
      <c r="H142" s="17">
        <f t="shared" si="13"/>
        <v>6.9384427634887262E-13</v>
      </c>
      <c r="I142" s="17">
        <f t="shared" si="14"/>
        <v>1.090122313628194E-15</v>
      </c>
      <c r="J142" s="17">
        <f t="shared" si="15"/>
        <v>2.6615935728131771E-21</v>
      </c>
      <c r="K142" s="17">
        <f t="shared" si="16"/>
        <v>1.2155015958969788E-16</v>
      </c>
      <c r="L142" s="17">
        <f t="shared" si="17"/>
        <v>4.3367973199027898E-22</v>
      </c>
      <c r="M142" s="17">
        <f t="shared" si="18"/>
        <v>4.3522731379758964E-23</v>
      </c>
      <c r="N142" s="17">
        <f t="shared" si="19"/>
        <v>6.1173267773213878E-2</v>
      </c>
      <c r="O142" s="17">
        <f t="shared" si="20"/>
        <v>7.953320990791932E-16</v>
      </c>
    </row>
    <row r="143" spans="4:15" x14ac:dyDescent="0.3">
      <c r="D143" s="17">
        <f>TL!D163</f>
        <v>515</v>
      </c>
      <c r="E143" s="17">
        <f>TL!C163</f>
        <v>3456</v>
      </c>
      <c r="F143" s="17">
        <f t="shared" si="11"/>
        <v>6.5656332077604484E-9</v>
      </c>
      <c r="G143" s="17">
        <f t="shared" si="12"/>
        <v>8.378417693059262E-12</v>
      </c>
      <c r="H143" s="17">
        <f t="shared" si="13"/>
        <v>7.3929713237597916E-13</v>
      </c>
      <c r="I143" s="17">
        <f t="shared" si="14"/>
        <v>1.1758181249939802E-15</v>
      </c>
      <c r="J143" s="17">
        <f t="shared" si="15"/>
        <v>2.9422639745268608E-21</v>
      </c>
      <c r="K143" s="17">
        <f t="shared" si="16"/>
        <v>1.3165228671645847E-16</v>
      </c>
      <c r="L143" s="17">
        <f t="shared" si="17"/>
        <v>4.8107397580389437E-22</v>
      </c>
      <c r="M143" s="17">
        <f t="shared" si="18"/>
        <v>4.8491356495296705E-23</v>
      </c>
      <c r="N143" s="17">
        <f t="shared" si="19"/>
        <v>6.2173829084950637E-2</v>
      </c>
      <c r="O143" s="17">
        <f t="shared" si="20"/>
        <v>8.5836727379907896E-16</v>
      </c>
    </row>
    <row r="144" spans="4:15" x14ac:dyDescent="0.3">
      <c r="D144" s="17">
        <f>TL!D164</f>
        <v>517</v>
      </c>
      <c r="E144" s="17">
        <f>TL!C164</f>
        <v>3334</v>
      </c>
      <c r="F144" s="17">
        <f t="shared" ref="F144:F207" si="21">$C$8*D144^2/$F$9*EXP(-$F$9/($C$8*D144))*(1-2*$C$8*D144/$F$9)</f>
        <v>7.19900267373178E-9</v>
      </c>
      <c r="G144" s="17">
        <f t="shared" ref="G144:G207" si="22">$C$8*D144^2/$G$9*EXP(-$G$9/($C$8*D144))*(1-2*$C$8*D144/$G$9)</f>
        <v>9.4189046714495938E-12</v>
      </c>
      <c r="H144" s="17">
        <f t="shared" ref="H144:H207" si="23">$C$8*D144^2/$H$9*EXP(-$H$9/($C$8*D144))*(1-2*$C$8*D144/$H$9)</f>
        <v>8.3873025329018414E-13</v>
      </c>
      <c r="I144" s="17">
        <f t="shared" ref="I144:I207" si="24">$C$8*D144^2/$I$9*EXP(-$I$9/($C$8*D144))*(1-2*$C$8*D144/$I$9)</f>
        <v>1.366777391069704E-15</v>
      </c>
      <c r="J144" s="17">
        <f t="shared" ref="J144:J207" si="25">$C$8*D144^2/$J$9*EXP(-$J$9/($C$8*D144))*(1-2*$C$8*D144/$J$9)</f>
        <v>3.5914141234231687E-21</v>
      </c>
      <c r="K144" s="17">
        <f t="shared" ref="K144:K207" si="26">$C$8*D144^2/$K$9*EXP(-$K$9/($C$8*D144))*(1-2*$C$8*D144/$K$9)</f>
        <v>1.5430535546416276E-16</v>
      </c>
      <c r="L144" s="17">
        <f t="shared" ref="L144:L207" si="27">$C$8*D144^2/$L$9*EXP(-$L$9/($C$8*D144))*(1-2*$C$8*D144/$L$9)</f>
        <v>5.9126745660475061E-22</v>
      </c>
      <c r="M144" s="17">
        <f t="shared" ref="M144:M207" si="28">$C$8*D144^2/$M$9*EXP(-$M$9/($C$8*D144))*(1-2*$C$8*D144/$M$9)</f>
        <v>6.0120869720636369E-23</v>
      </c>
      <c r="N144" s="17">
        <f t="shared" ref="N144:N207" si="29">$C$8*D144^2/$N$9*EXP(-$N$9/($C$8*D144))*(1-2*$C$8*D144/$N$9)</f>
        <v>6.4212934243022157E-2</v>
      </c>
      <c r="O144" s="17">
        <f t="shared" ref="O144:O207" si="30">$C$8*D144^2/$O$9*EXP(-$O$9/($C$8*D144))*(1-2*$C$8*D144/$O$9)</f>
        <v>9.9895797189008227E-16</v>
      </c>
    </row>
    <row r="145" spans="4:15" x14ac:dyDescent="0.3">
      <c r="D145" s="17">
        <f>TL!D165</f>
        <v>518</v>
      </c>
      <c r="E145" s="17">
        <f>TL!C165</f>
        <v>3218</v>
      </c>
      <c r="F145" s="17">
        <f t="shared" si="21"/>
        <v>7.5363095499577897E-9</v>
      </c>
      <c r="G145" s="17">
        <f t="shared" si="22"/>
        <v>9.9833630767236434E-12</v>
      </c>
      <c r="H145" s="17">
        <f t="shared" si="23"/>
        <v>8.9303765381270411E-13</v>
      </c>
      <c r="I145" s="17">
        <f t="shared" si="24"/>
        <v>1.4729632964087841E-15</v>
      </c>
      <c r="J145" s="17">
        <f t="shared" si="25"/>
        <v>3.9656222740300186E-21</v>
      </c>
      <c r="K145" s="17">
        <f t="shared" si="26"/>
        <v>1.6697914138293249E-16</v>
      </c>
      <c r="L145" s="17">
        <f t="shared" si="27"/>
        <v>6.5511164542854646E-22</v>
      </c>
      <c r="M145" s="17">
        <f t="shared" si="28"/>
        <v>6.6902144693997589E-23</v>
      </c>
      <c r="N145" s="17">
        <f t="shared" si="29"/>
        <v>6.5251689672012947E-2</v>
      </c>
      <c r="O145" s="17">
        <f t="shared" si="30"/>
        <v>1.0772042992208504E-15</v>
      </c>
    </row>
    <row r="146" spans="4:15" x14ac:dyDescent="0.3">
      <c r="D146" s="17">
        <f>TL!D166</f>
        <v>520</v>
      </c>
      <c r="E146" s="17">
        <f>TL!C166</f>
        <v>3196</v>
      </c>
      <c r="F146" s="17">
        <f t="shared" si="21"/>
        <v>8.2548787271173027E-9</v>
      </c>
      <c r="G146" s="17">
        <f t="shared" si="22"/>
        <v>1.1208488313930879E-11</v>
      </c>
      <c r="H146" s="17">
        <f t="shared" si="23"/>
        <v>1.0117175106361151E-12</v>
      </c>
      <c r="I146" s="17">
        <f t="shared" si="24"/>
        <v>1.7092845433713768E-15</v>
      </c>
      <c r="J146" s="17">
        <f t="shared" si="25"/>
        <v>4.8296496799418367E-21</v>
      </c>
      <c r="K146" s="17">
        <f t="shared" si="26"/>
        <v>1.953611702005628E-16</v>
      </c>
      <c r="L146" s="17">
        <f t="shared" si="27"/>
        <v>8.0329201288010355E-22</v>
      </c>
      <c r="M146" s="17">
        <f t="shared" si="28"/>
        <v>8.2745300895622695E-23</v>
      </c>
      <c r="N146" s="17">
        <f t="shared" si="29"/>
        <v>6.7368137341982173E-2</v>
      </c>
      <c r="O146" s="17">
        <f t="shared" si="30"/>
        <v>1.2515004366947474E-15</v>
      </c>
    </row>
    <row r="147" spans="4:15" x14ac:dyDescent="0.3">
      <c r="D147" s="17">
        <f>TL!D167</f>
        <v>521</v>
      </c>
      <c r="E147" s="17">
        <f>TL!C167</f>
        <v>3224</v>
      </c>
      <c r="F147" s="17">
        <f t="shared" si="21"/>
        <v>8.6372821678079889E-9</v>
      </c>
      <c r="G147" s="17">
        <f t="shared" si="22"/>
        <v>1.1872490459641701E-11</v>
      </c>
      <c r="H147" s="17">
        <f t="shared" si="23"/>
        <v>1.0764713122332123E-12</v>
      </c>
      <c r="I147" s="17">
        <f t="shared" si="24"/>
        <v>1.8405349075568247E-15</v>
      </c>
      <c r="J147" s="17">
        <f t="shared" si="25"/>
        <v>5.3269168147464013E-21</v>
      </c>
      <c r="K147" s="17">
        <f t="shared" si="26"/>
        <v>2.1121974754507458E-16</v>
      </c>
      <c r="L147" s="17">
        <f t="shared" si="27"/>
        <v>8.8900081452702657E-22</v>
      </c>
      <c r="M147" s="17">
        <f t="shared" si="28"/>
        <v>9.1967389891086244E-23</v>
      </c>
      <c r="N147" s="17">
        <f t="shared" si="29"/>
        <v>6.8446042872603807E-2</v>
      </c>
      <c r="O147" s="17">
        <f t="shared" si="30"/>
        <v>1.3483867465497098E-15</v>
      </c>
    </row>
    <row r="148" spans="4:15" x14ac:dyDescent="0.3">
      <c r="D148" s="17">
        <f>TL!D168</f>
        <v>523</v>
      </c>
      <c r="E148" s="17">
        <f>TL!C168</f>
        <v>3268</v>
      </c>
      <c r="F148" s="17">
        <f t="shared" si="21"/>
        <v>9.4513281819943925E-9</v>
      </c>
      <c r="G148" s="17">
        <f t="shared" si="22"/>
        <v>1.3312310761198537E-11</v>
      </c>
      <c r="H148" s="17">
        <f t="shared" si="23"/>
        <v>1.2178354340438493E-12</v>
      </c>
      <c r="I148" s="17">
        <f t="shared" si="24"/>
        <v>2.1322780266105546E-15</v>
      </c>
      <c r="J148" s="17">
        <f t="shared" si="25"/>
        <v>6.4731752102827928E-21</v>
      </c>
      <c r="K148" s="17">
        <f t="shared" si="26"/>
        <v>2.4668754045095024E-16</v>
      </c>
      <c r="L148" s="17">
        <f t="shared" si="27"/>
        <v>1.0875860443785165E-21</v>
      </c>
      <c r="M148" s="17">
        <f t="shared" si="28"/>
        <v>1.1347432544024317E-22</v>
      </c>
      <c r="N148" s="17">
        <f t="shared" si="29"/>
        <v>7.0641752611295197E-2</v>
      </c>
      <c r="O148" s="17">
        <f t="shared" si="30"/>
        <v>1.5639357037074815E-15</v>
      </c>
    </row>
    <row r="149" spans="4:15" x14ac:dyDescent="0.3">
      <c r="D149" s="17">
        <f>TL!D169</f>
        <v>524</v>
      </c>
      <c r="E149" s="17">
        <f>TL!C169</f>
        <v>3376</v>
      </c>
      <c r="F149" s="17">
        <f t="shared" si="21"/>
        <v>9.8842332532964356E-9</v>
      </c>
      <c r="G149" s="17">
        <f t="shared" si="22"/>
        <v>1.4091957600218966E-11</v>
      </c>
      <c r="H149" s="17">
        <f t="shared" si="23"/>
        <v>1.2948894477920373E-12</v>
      </c>
      <c r="I149" s="17">
        <f t="shared" si="24"/>
        <v>2.2941154585998712E-15</v>
      </c>
      <c r="J149" s="17">
        <f t="shared" si="25"/>
        <v>7.1318194751043366E-21</v>
      </c>
      <c r="K149" s="17">
        <f t="shared" si="26"/>
        <v>2.6648028064958854E-16</v>
      </c>
      <c r="L149" s="17">
        <f t="shared" si="27"/>
        <v>1.2022596293331082E-21</v>
      </c>
      <c r="M149" s="17">
        <f t="shared" si="28"/>
        <v>1.2597164457103001E-22</v>
      </c>
      <c r="N149" s="17">
        <f t="shared" si="29"/>
        <v>7.1759771741051553E-2</v>
      </c>
      <c r="O149" s="17">
        <f t="shared" si="30"/>
        <v>1.6836089102599606E-15</v>
      </c>
    </row>
    <row r="150" spans="4:15" x14ac:dyDescent="0.3">
      <c r="D150" s="17">
        <f>TL!D170</f>
        <v>526</v>
      </c>
      <c r="E150" s="17">
        <f>TL!C170</f>
        <v>3518</v>
      </c>
      <c r="F150" s="17">
        <f t="shared" si="21"/>
        <v>1.0805125980151325E-8</v>
      </c>
      <c r="G150" s="17">
        <f t="shared" si="22"/>
        <v>1.5780974721440938E-11</v>
      </c>
      <c r="H150" s="17">
        <f t="shared" si="23"/>
        <v>1.4629372250696728E-12</v>
      </c>
      <c r="I150" s="17">
        <f t="shared" si="24"/>
        <v>2.6534115809959664E-15</v>
      </c>
      <c r="J150" s="17">
        <f t="shared" si="25"/>
        <v>8.6475941829626392E-21</v>
      </c>
      <c r="K150" s="17">
        <f t="shared" si="26"/>
        <v>3.1069007712375842E-16</v>
      </c>
      <c r="L150" s="17">
        <f t="shared" si="27"/>
        <v>1.467506377294645E-21</v>
      </c>
      <c r="M150" s="17">
        <f t="shared" si="28"/>
        <v>1.550653122238045E-22</v>
      </c>
      <c r="N150" s="17">
        <f t="shared" si="29"/>
        <v>7.4036677792997899E-2</v>
      </c>
      <c r="O150" s="17">
        <f t="shared" si="30"/>
        <v>1.9495279690398604E-15</v>
      </c>
    </row>
    <row r="151" spans="4:15" x14ac:dyDescent="0.3">
      <c r="D151" s="17">
        <f>TL!D171</f>
        <v>527</v>
      </c>
      <c r="E151" s="17">
        <f>TL!C171</f>
        <v>3658</v>
      </c>
      <c r="F151" s="17">
        <f t="shared" si="21"/>
        <v>1.129450858722969E-8</v>
      </c>
      <c r="G151" s="17">
        <f t="shared" si="22"/>
        <v>1.6694732505597477E-11</v>
      </c>
      <c r="H151" s="17">
        <f t="shared" si="23"/>
        <v>1.5544462604896276E-12</v>
      </c>
      <c r="I151" s="17">
        <f t="shared" si="24"/>
        <v>2.8524882165034544E-15</v>
      </c>
      <c r="J151" s="17">
        <f t="shared" si="25"/>
        <v>9.5171969369890912E-21</v>
      </c>
      <c r="K151" s="17">
        <f t="shared" si="26"/>
        <v>3.3533063531292939E-16</v>
      </c>
      <c r="L151" s="17">
        <f t="shared" si="27"/>
        <v>1.6204249838293783E-21</v>
      </c>
      <c r="M151" s="17">
        <f t="shared" si="28"/>
        <v>1.7194250324494029E-22</v>
      </c>
      <c r="N151" s="17">
        <f t="shared" si="29"/>
        <v>7.5195781192949451E-2</v>
      </c>
      <c r="O151" s="17">
        <f t="shared" si="30"/>
        <v>2.0969918583085574E-15</v>
      </c>
    </row>
    <row r="152" spans="4:15" x14ac:dyDescent="0.3">
      <c r="D152" s="17">
        <f>TL!D172</f>
        <v>529</v>
      </c>
      <c r="E152" s="17">
        <f>TL!C172</f>
        <v>3814</v>
      </c>
      <c r="F152" s="17">
        <f t="shared" si="21"/>
        <v>1.2334810544346116E-8</v>
      </c>
      <c r="G152" s="17">
        <f t="shared" si="22"/>
        <v>1.8672482667391028E-11</v>
      </c>
      <c r="H152" s="17">
        <f t="shared" si="23"/>
        <v>1.7538221016031654E-12</v>
      </c>
      <c r="I152" s="17">
        <f t="shared" si="24"/>
        <v>3.2939329272064737E-15</v>
      </c>
      <c r="J152" s="17">
        <f t="shared" si="25"/>
        <v>1.1515253609971488E-20</v>
      </c>
      <c r="K152" s="17">
        <f t="shared" si="26"/>
        <v>3.9029931983901659E-16</v>
      </c>
      <c r="L152" s="17">
        <f t="shared" si="27"/>
        <v>1.9735470042649659E-21</v>
      </c>
      <c r="M152" s="17">
        <f t="shared" si="28"/>
        <v>2.1116428965883759E-22</v>
      </c>
      <c r="N152" s="17">
        <f t="shared" si="29"/>
        <v>7.7555831806714173E-2</v>
      </c>
      <c r="O152" s="17">
        <f t="shared" si="30"/>
        <v>2.4242695097768383E-15</v>
      </c>
    </row>
    <row r="153" spans="4:15" x14ac:dyDescent="0.3">
      <c r="D153" s="17">
        <f>TL!D173</f>
        <v>530</v>
      </c>
      <c r="E153" s="17">
        <f>TL!C173</f>
        <v>3972</v>
      </c>
      <c r="F153" s="17">
        <f t="shared" si="21"/>
        <v>1.2887269233114559E-8</v>
      </c>
      <c r="G153" s="17">
        <f t="shared" si="22"/>
        <v>1.9741494463288381E-11</v>
      </c>
      <c r="H153" s="17">
        <f t="shared" si="23"/>
        <v>1.8622862074002308E-12</v>
      </c>
      <c r="I153" s="17">
        <f t="shared" si="24"/>
        <v>3.5382433999346857E-15</v>
      </c>
      <c r="J153" s="17">
        <f t="shared" si="25"/>
        <v>1.2659773582467342E-20</v>
      </c>
      <c r="K153" s="17">
        <f t="shared" si="26"/>
        <v>4.208989883622572E-16</v>
      </c>
      <c r="L153" s="17">
        <f t="shared" si="27"/>
        <v>2.1768017711209511E-21</v>
      </c>
      <c r="M153" s="17">
        <f t="shared" si="28"/>
        <v>2.3387887385788814E-22</v>
      </c>
      <c r="N153" s="17">
        <f t="shared" si="29"/>
        <v>7.8756996977430424E-2</v>
      </c>
      <c r="O153" s="17">
        <f t="shared" si="30"/>
        <v>2.6055480750806321E-15</v>
      </c>
    </row>
    <row r="154" spans="4:15" x14ac:dyDescent="0.3">
      <c r="D154" s="17">
        <f>TL!D174</f>
        <v>532</v>
      </c>
      <c r="E154" s="17">
        <f>TL!C174</f>
        <v>4162</v>
      </c>
      <c r="F154" s="17">
        <f t="shared" si="21"/>
        <v>1.4060843013693013E-8</v>
      </c>
      <c r="G154" s="17">
        <f t="shared" si="22"/>
        <v>2.2053206740735485E-11</v>
      </c>
      <c r="H154" s="17">
        <f t="shared" si="23"/>
        <v>2.0983736812748675E-12</v>
      </c>
      <c r="I154" s="17">
        <f t="shared" si="24"/>
        <v>4.0793581889001658E-15</v>
      </c>
      <c r="J154" s="17">
        <f t="shared" si="25"/>
        <v>1.5285354050744487E-20</v>
      </c>
      <c r="K154" s="17">
        <f t="shared" si="26"/>
        <v>4.8907680283892318E-16</v>
      </c>
      <c r="L154" s="17">
        <f t="shared" si="27"/>
        <v>2.6453942825257984E-21</v>
      </c>
      <c r="M154" s="17">
        <f t="shared" si="28"/>
        <v>2.8657643149718945E-22</v>
      </c>
      <c r="N154" s="17">
        <f t="shared" si="29"/>
        <v>8.1202153713245781E-2</v>
      </c>
      <c r="O154" s="17">
        <f t="shared" si="30"/>
        <v>3.0073982352904265E-15</v>
      </c>
    </row>
    <row r="155" spans="4:15" x14ac:dyDescent="0.3">
      <c r="D155" s="17">
        <f>TL!D175</f>
        <v>533</v>
      </c>
      <c r="E155" s="17">
        <f>TL!C175</f>
        <v>4318</v>
      </c>
      <c r="F155" s="17">
        <f t="shared" si="21"/>
        <v>1.4683654651168016E-8</v>
      </c>
      <c r="G155" s="17">
        <f t="shared" si="22"/>
        <v>2.3301640069017401E-11</v>
      </c>
      <c r="H155" s="17">
        <f t="shared" si="23"/>
        <v>2.2266881882524628E-12</v>
      </c>
      <c r="I155" s="17">
        <f t="shared" si="24"/>
        <v>4.3784892984091657E-15</v>
      </c>
      <c r="J155" s="17">
        <f t="shared" si="25"/>
        <v>1.6787048005703304E-20</v>
      </c>
      <c r="K155" s="17">
        <f t="shared" si="26"/>
        <v>5.2698408855249012E-16</v>
      </c>
      <c r="L155" s="17">
        <f t="shared" si="27"/>
        <v>2.9146894449217137E-21</v>
      </c>
      <c r="M155" s="17">
        <f t="shared" si="28"/>
        <v>3.1704525780197871E-22</v>
      </c>
      <c r="N155" s="17">
        <f t="shared" si="29"/>
        <v>8.2446364636550126E-2</v>
      </c>
      <c r="O155" s="17">
        <f t="shared" si="30"/>
        <v>3.2297274905967825E-15</v>
      </c>
    </row>
    <row r="156" spans="4:15" x14ac:dyDescent="0.3">
      <c r="D156" s="17">
        <f>TL!D176</f>
        <v>535</v>
      </c>
      <c r="E156" s="17">
        <f>TL!C176</f>
        <v>4474</v>
      </c>
      <c r="F156" s="17">
        <f t="shared" si="21"/>
        <v>1.6005778335042225E-8</v>
      </c>
      <c r="G156" s="17">
        <f t="shared" si="22"/>
        <v>2.5998970553743153E-11</v>
      </c>
      <c r="H156" s="17">
        <f t="shared" si="23"/>
        <v>2.5057164227817943E-12</v>
      </c>
      <c r="I156" s="17">
        <f t="shared" si="24"/>
        <v>5.0402619520360453E-15</v>
      </c>
      <c r="J156" s="17">
        <f t="shared" si="25"/>
        <v>2.0226665013912806E-20</v>
      </c>
      <c r="K156" s="17">
        <f t="shared" si="26"/>
        <v>6.1134081583135205E-16</v>
      </c>
      <c r="L156" s="17">
        <f t="shared" si="27"/>
        <v>3.5345376608284588E-21</v>
      </c>
      <c r="M156" s="17">
        <f t="shared" si="28"/>
        <v>3.8761402337856182E-22</v>
      </c>
      <c r="N156" s="17">
        <f t="shared" si="29"/>
        <v>8.4978601665805453E-2</v>
      </c>
      <c r="O156" s="17">
        <f t="shared" si="30"/>
        <v>3.7220050311464894E-15</v>
      </c>
    </row>
    <row r="157" spans="4:15" x14ac:dyDescent="0.3">
      <c r="D157" s="17">
        <f>TL!D177</f>
        <v>536</v>
      </c>
      <c r="E157" s="17">
        <f>TL!C177</f>
        <v>4530</v>
      </c>
      <c r="F157" s="17">
        <f t="shared" si="21"/>
        <v>1.6706957890200679E-8</v>
      </c>
      <c r="G157" s="17">
        <f t="shared" si="22"/>
        <v>2.7454404741716314E-11</v>
      </c>
      <c r="H157" s="17">
        <f t="shared" si="23"/>
        <v>2.6572284541401225E-12</v>
      </c>
      <c r="I157" s="17">
        <f t="shared" si="24"/>
        <v>5.4056847409765686E-15</v>
      </c>
      <c r="J157" s="17">
        <f t="shared" si="25"/>
        <v>2.2191009577140124E-20</v>
      </c>
      <c r="K157" s="17">
        <f t="shared" si="26"/>
        <v>6.5818829833125642E-16</v>
      </c>
      <c r="L157" s="17">
        <f t="shared" si="27"/>
        <v>3.8902076079493227E-21</v>
      </c>
      <c r="M157" s="17">
        <f t="shared" si="28"/>
        <v>4.2834993090059907E-22</v>
      </c>
      <c r="N157" s="17">
        <f t="shared" si="29"/>
        <v>8.6266848452578371E-2</v>
      </c>
      <c r="O157" s="17">
        <f t="shared" si="30"/>
        <v>3.9940577933759268E-15</v>
      </c>
    </row>
    <row r="158" spans="4:15" x14ac:dyDescent="0.3">
      <c r="D158" s="17">
        <f>TL!D178</f>
        <v>538</v>
      </c>
      <c r="E158" s="17">
        <f>TL!C178</f>
        <v>4704</v>
      </c>
      <c r="F158" s="17">
        <f t="shared" si="21"/>
        <v>1.8194448883905265E-8</v>
      </c>
      <c r="G158" s="17">
        <f t="shared" si="22"/>
        <v>3.0596253946281132E-11</v>
      </c>
      <c r="H158" s="17">
        <f t="shared" si="23"/>
        <v>2.9863921842663076E-12</v>
      </c>
      <c r="I158" s="17">
        <f t="shared" si="24"/>
        <v>6.2132008700016155E-15</v>
      </c>
      <c r="J158" s="17">
        <f t="shared" si="25"/>
        <v>2.6683471413390281E-20</v>
      </c>
      <c r="K158" s="17">
        <f t="shared" si="26"/>
        <v>7.6231518787414165E-16</v>
      </c>
      <c r="L158" s="17">
        <f t="shared" si="27"/>
        <v>4.707576237276577E-21</v>
      </c>
      <c r="M158" s="17">
        <f t="shared" si="28"/>
        <v>5.2254271063595278E-22</v>
      </c>
      <c r="N158" s="17">
        <f t="shared" si="29"/>
        <v>8.8888151849688277E-2</v>
      </c>
      <c r="O158" s="17">
        <f t="shared" si="30"/>
        <v>4.5957449833924236E-15</v>
      </c>
    </row>
    <row r="159" spans="4:15" x14ac:dyDescent="0.3">
      <c r="D159" s="17">
        <f>TL!D179</f>
        <v>539</v>
      </c>
      <c r="E159" s="17">
        <f>TL!C179</f>
        <v>4842</v>
      </c>
      <c r="F159" s="17">
        <f t="shared" si="21"/>
        <v>1.8982813538840193E-8</v>
      </c>
      <c r="G159" s="17">
        <f t="shared" si="22"/>
        <v>3.2290111076102579E-11</v>
      </c>
      <c r="H159" s="17">
        <f t="shared" si="23"/>
        <v>3.1649643630822677E-12</v>
      </c>
      <c r="I159" s="17">
        <f t="shared" si="24"/>
        <v>6.6586116143893231E-15</v>
      </c>
      <c r="J159" s="17">
        <f t="shared" si="25"/>
        <v>2.9245324227903515E-20</v>
      </c>
      <c r="K159" s="17">
        <f t="shared" si="26"/>
        <v>8.2007487708620029E-16</v>
      </c>
      <c r="L159" s="17">
        <f t="shared" si="27"/>
        <v>5.1758711889232859E-21</v>
      </c>
      <c r="M159" s="17">
        <f t="shared" si="28"/>
        <v>5.7682944145746234E-22</v>
      </c>
      <c r="N159" s="17">
        <f t="shared" si="29"/>
        <v>9.0221430383989928E-2</v>
      </c>
      <c r="O159" s="17">
        <f t="shared" si="30"/>
        <v>4.9278937456623992E-15</v>
      </c>
    </row>
    <row r="160" spans="4:15" x14ac:dyDescent="0.3">
      <c r="D160" s="17">
        <f>TL!D180</f>
        <v>541</v>
      </c>
      <c r="E160" s="17">
        <f>TL!C180</f>
        <v>5054</v>
      </c>
      <c r="F160" s="17">
        <f t="shared" si="21"/>
        <v>2.0654161312232106E-8</v>
      </c>
      <c r="G160" s="17">
        <f t="shared" si="22"/>
        <v>3.594353265086904E-11</v>
      </c>
      <c r="H160" s="17">
        <f t="shared" si="23"/>
        <v>3.5525591565937938E-12</v>
      </c>
      <c r="I160" s="17">
        <f t="shared" si="24"/>
        <v>7.6417911895255132E-15</v>
      </c>
      <c r="J160" s="17">
        <f t="shared" si="25"/>
        <v>3.5095515864463974E-20</v>
      </c>
      <c r="K160" s="17">
        <f t="shared" si="26"/>
        <v>9.4830492757560043E-16</v>
      </c>
      <c r="L160" s="17">
        <f t="shared" si="27"/>
        <v>6.2503943709306305E-21</v>
      </c>
      <c r="M160" s="17">
        <f t="shared" si="28"/>
        <v>7.0215203508030264E-22</v>
      </c>
      <c r="N160" s="17">
        <f t="shared" si="29"/>
        <v>9.293379741116306E-2</v>
      </c>
      <c r="O160" s="17">
        <f t="shared" si="30"/>
        <v>5.6616685393005571E-15</v>
      </c>
    </row>
    <row r="161" spans="4:15" x14ac:dyDescent="0.3">
      <c r="D161" s="17">
        <f>TL!D181</f>
        <v>542</v>
      </c>
      <c r="E161" s="17">
        <f>TL!C181</f>
        <v>5106</v>
      </c>
      <c r="F161" s="17">
        <f t="shared" si="21"/>
        <v>2.1539399141325002E-8</v>
      </c>
      <c r="G161" s="17">
        <f t="shared" si="22"/>
        <v>3.7911556295567952E-11</v>
      </c>
      <c r="H161" s="17">
        <f t="shared" si="23"/>
        <v>3.7626413098812085E-12</v>
      </c>
      <c r="I161" s="17">
        <f t="shared" si="24"/>
        <v>8.1835086918679017E-15</v>
      </c>
      <c r="J161" s="17">
        <f t="shared" si="25"/>
        <v>3.8426806689027062E-20</v>
      </c>
      <c r="K161" s="17">
        <f t="shared" si="26"/>
        <v>1.0193535221968118E-15</v>
      </c>
      <c r="L161" s="17">
        <f t="shared" si="27"/>
        <v>6.8651009233099498E-21</v>
      </c>
      <c r="M161" s="17">
        <f t="shared" si="28"/>
        <v>7.7426742551796322E-22</v>
      </c>
      <c r="N161" s="17">
        <f t="shared" si="29"/>
        <v>9.4313108990935521E-2</v>
      </c>
      <c r="O161" s="17">
        <f t="shared" si="30"/>
        <v>6.0662922652333969E-15</v>
      </c>
    </row>
    <row r="162" spans="4:15" x14ac:dyDescent="0.3">
      <c r="D162" s="17">
        <f>TL!D182</f>
        <v>544</v>
      </c>
      <c r="E162" s="17">
        <f>TL!C182</f>
        <v>5210</v>
      </c>
      <c r="F162" s="17">
        <f t="shared" si="21"/>
        <v>2.3414907344117403E-8</v>
      </c>
      <c r="G162" s="17">
        <f t="shared" si="22"/>
        <v>4.2152765766902893E-11</v>
      </c>
      <c r="H162" s="17">
        <f t="shared" si="23"/>
        <v>4.2182156434152434E-12</v>
      </c>
      <c r="I162" s="17">
        <f t="shared" si="24"/>
        <v>9.3779633333132103E-15</v>
      </c>
      <c r="J162" s="17">
        <f t="shared" si="25"/>
        <v>4.602286915912091E-20</v>
      </c>
      <c r="K162" s="17">
        <f t="shared" si="26"/>
        <v>1.1769031256727669E-15</v>
      </c>
      <c r="L162" s="17">
        <f t="shared" si="27"/>
        <v>8.2734196169006083E-21</v>
      </c>
      <c r="M162" s="17">
        <f t="shared" si="28"/>
        <v>9.4048268382992958E-22</v>
      </c>
      <c r="N162" s="17">
        <f t="shared" si="29"/>
        <v>9.7118547376355682E-2</v>
      </c>
      <c r="O162" s="17">
        <f t="shared" si="30"/>
        <v>6.9591908683945363E-15</v>
      </c>
    </row>
    <row r="163" spans="4:15" x14ac:dyDescent="0.3">
      <c r="D163" s="17">
        <f>TL!D183</f>
        <v>545</v>
      </c>
      <c r="E163" s="17">
        <f>TL!C183</f>
        <v>5230</v>
      </c>
      <c r="F163" s="17">
        <f t="shared" si="21"/>
        <v>2.4407650806864415E-8</v>
      </c>
      <c r="G163" s="17">
        <f t="shared" si="22"/>
        <v>4.4435552034986019E-11</v>
      </c>
      <c r="H163" s="17">
        <f t="shared" si="23"/>
        <v>4.464925377060867E-12</v>
      </c>
      <c r="I163" s="17">
        <f t="shared" si="24"/>
        <v>1.0035390899304457E-14</v>
      </c>
      <c r="J163" s="17">
        <f t="shared" si="25"/>
        <v>5.0342174581014854E-20</v>
      </c>
      <c r="K163" s="17">
        <f t="shared" si="26"/>
        <v>1.2640987812282702E-15</v>
      </c>
      <c r="L163" s="17">
        <f t="shared" si="27"/>
        <v>9.0778975769443406E-21</v>
      </c>
      <c r="M163" s="17">
        <f t="shared" si="28"/>
        <v>1.0359826125161213E-21</v>
      </c>
      <c r="N163" s="17">
        <f t="shared" si="29"/>
        <v>9.8544898350958532E-2</v>
      </c>
      <c r="O163" s="17">
        <f t="shared" si="30"/>
        <v>7.4510323309211871E-15</v>
      </c>
    </row>
    <row r="164" spans="4:15" x14ac:dyDescent="0.3">
      <c r="D164" s="17">
        <f>TL!D184</f>
        <v>547</v>
      </c>
      <c r="E164" s="17">
        <f>TL!C184</f>
        <v>5328</v>
      </c>
      <c r="F164" s="17">
        <f t="shared" si="21"/>
        <v>2.6509589264253066E-8</v>
      </c>
      <c r="G164" s="17">
        <f t="shared" si="22"/>
        <v>4.9351044949490024E-11</v>
      </c>
      <c r="H164" s="17">
        <f t="shared" si="23"/>
        <v>4.9994513901020841E-12</v>
      </c>
      <c r="I164" s="17">
        <f t="shared" si="24"/>
        <v>1.1483419760788888E-14</v>
      </c>
      <c r="J164" s="17">
        <f t="shared" si="25"/>
        <v>6.0176862518596643E-20</v>
      </c>
      <c r="K164" s="17">
        <f t="shared" si="26"/>
        <v>1.4572341742138822E-15</v>
      </c>
      <c r="L164" s="17">
        <f t="shared" si="27"/>
        <v>1.0918224837995823E-20</v>
      </c>
      <c r="M164" s="17">
        <f t="shared" si="28"/>
        <v>1.2557507544794417E-21</v>
      </c>
      <c r="N164" s="17">
        <f t="shared" si="29"/>
        <v>0.10144542556088512</v>
      </c>
      <c r="O164" s="17">
        <f t="shared" si="30"/>
        <v>8.5352201592804814E-15</v>
      </c>
    </row>
    <row r="165" spans="4:15" x14ac:dyDescent="0.3">
      <c r="D165" s="17">
        <f>TL!D185</f>
        <v>548</v>
      </c>
      <c r="E165" s="17">
        <f>TL!C185</f>
        <v>5370</v>
      </c>
      <c r="F165" s="17">
        <f t="shared" si="21"/>
        <v>2.762149376528247E-8</v>
      </c>
      <c r="G165" s="17">
        <f t="shared" si="22"/>
        <v>5.1994630706365459E-11</v>
      </c>
      <c r="H165" s="17">
        <f t="shared" si="23"/>
        <v>5.2886644894442512E-12</v>
      </c>
      <c r="I165" s="17">
        <f t="shared" si="24"/>
        <v>1.2279581346310809E-14</v>
      </c>
      <c r="J165" s="17">
        <f t="shared" si="25"/>
        <v>6.5761293565043066E-20</v>
      </c>
      <c r="K165" s="17">
        <f t="shared" si="26"/>
        <v>1.5640066237443983E-15</v>
      </c>
      <c r="L165" s="17">
        <f t="shared" si="27"/>
        <v>1.196796013636095E-20</v>
      </c>
      <c r="M165" s="17">
        <f t="shared" si="28"/>
        <v>1.3818293300315342E-21</v>
      </c>
      <c r="N165" s="17">
        <f t="shared" si="29"/>
        <v>0.10291982696571603</v>
      </c>
      <c r="O165" s="17">
        <f t="shared" si="30"/>
        <v>9.1318013344336116E-15</v>
      </c>
    </row>
    <row r="166" spans="4:15" x14ac:dyDescent="0.3">
      <c r="D166" s="17">
        <f>TL!D186</f>
        <v>550</v>
      </c>
      <c r="E166" s="17">
        <f>TL!C186</f>
        <v>5282</v>
      </c>
      <c r="F166" s="17">
        <f t="shared" si="21"/>
        <v>2.9974260867611961E-8</v>
      </c>
      <c r="G166" s="17">
        <f t="shared" si="22"/>
        <v>5.7682420280262539E-11</v>
      </c>
      <c r="H166" s="17">
        <f t="shared" si="23"/>
        <v>5.9147294108514257E-12</v>
      </c>
      <c r="I166" s="17">
        <f t="shared" si="24"/>
        <v>1.4031325770081416E-14</v>
      </c>
      <c r="J166" s="17">
        <f t="shared" si="25"/>
        <v>7.8458456345447422E-20</v>
      </c>
      <c r="K166" s="17">
        <f t="shared" si="26"/>
        <v>1.8002390886023598E-15</v>
      </c>
      <c r="L166" s="17">
        <f t="shared" si="27"/>
        <v>1.4365795128186751E-20</v>
      </c>
      <c r="M166" s="17">
        <f t="shared" si="28"/>
        <v>1.6715189958414088E-21</v>
      </c>
      <c r="N166" s="17">
        <f t="shared" si="29"/>
        <v>0.10591746947100031</v>
      </c>
      <c r="O166" s="17">
        <f t="shared" si="30"/>
        <v>1.0445468349874449E-14</v>
      </c>
    </row>
    <row r="167" spans="4:15" x14ac:dyDescent="0.3">
      <c r="D167" s="17">
        <f>TL!D187</f>
        <v>551</v>
      </c>
      <c r="E167" s="17">
        <f>TL!C187</f>
        <v>5216</v>
      </c>
      <c r="F167" s="17">
        <f t="shared" si="21"/>
        <v>3.1218088645293142E-8</v>
      </c>
      <c r="G167" s="17">
        <f t="shared" si="22"/>
        <v>6.0738933781796857E-11</v>
      </c>
      <c r="H167" s="17">
        <f t="shared" si="23"/>
        <v>6.2531811080000939E-12</v>
      </c>
      <c r="I167" s="17">
        <f t="shared" si="24"/>
        <v>1.4993487017524429E-14</v>
      </c>
      <c r="J167" s="17">
        <f t="shared" si="25"/>
        <v>8.5658378719215443E-20</v>
      </c>
      <c r="K167" s="17">
        <f t="shared" si="26"/>
        <v>1.9306952232222405E-15</v>
      </c>
      <c r="L167" s="17">
        <f t="shared" si="27"/>
        <v>1.573159079011464E-20</v>
      </c>
      <c r="M167" s="17">
        <f t="shared" si="28"/>
        <v>1.8374641408467783E-21</v>
      </c>
      <c r="N167" s="17">
        <f t="shared" si="29"/>
        <v>0.10744093665944496</v>
      </c>
      <c r="O167" s="17">
        <f t="shared" si="30"/>
        <v>1.1167572366147053E-14</v>
      </c>
    </row>
    <row r="168" spans="4:15" x14ac:dyDescent="0.3">
      <c r="D168" s="17">
        <f>TL!D188</f>
        <v>553</v>
      </c>
      <c r="E168" s="17">
        <f>TL!C188</f>
        <v>5204</v>
      </c>
      <c r="F168" s="17">
        <f t="shared" si="21"/>
        <v>3.3848384662393903E-8</v>
      </c>
      <c r="G168" s="17">
        <f t="shared" si="22"/>
        <v>6.7309918908829222E-11</v>
      </c>
      <c r="H168" s="17">
        <f t="shared" si="23"/>
        <v>6.985201528342669E-12</v>
      </c>
      <c r="I168" s="17">
        <f t="shared" si="24"/>
        <v>1.7108266736691125E-14</v>
      </c>
      <c r="J168" s="17">
        <f t="shared" si="25"/>
        <v>1.0200570835623377E-19</v>
      </c>
      <c r="K168" s="17">
        <f t="shared" si="26"/>
        <v>2.2190095439213114E-15</v>
      </c>
      <c r="L168" s="17">
        <f t="shared" si="27"/>
        <v>1.8846851118651126E-20</v>
      </c>
      <c r="M168" s="17">
        <f t="shared" si="28"/>
        <v>2.2181767787593676E-21</v>
      </c>
      <c r="N168" s="17">
        <f t="shared" si="29"/>
        <v>0.1105377291969514</v>
      </c>
      <c r="O168" s="17">
        <f t="shared" si="30"/>
        <v>1.2755970869568247E-14</v>
      </c>
    </row>
    <row r="169" spans="4:15" x14ac:dyDescent="0.3">
      <c r="D169" s="17">
        <f>TL!D189</f>
        <v>554</v>
      </c>
      <c r="E169" s="17">
        <f>TL!C189</f>
        <v>5098</v>
      </c>
      <c r="F169" s="17">
        <f t="shared" si="21"/>
        <v>3.5238094275254968E-8</v>
      </c>
      <c r="G169" s="17">
        <f t="shared" si="22"/>
        <v>7.0838298469610465E-11</v>
      </c>
      <c r="H169" s="17">
        <f t="shared" si="23"/>
        <v>7.3805997698243512E-12</v>
      </c>
      <c r="I169" s="17">
        <f t="shared" si="24"/>
        <v>1.8268652990107432E-14</v>
      </c>
      <c r="J169" s="17">
        <f t="shared" si="25"/>
        <v>1.1126292292815216E-19</v>
      </c>
      <c r="K169" s="17">
        <f t="shared" si="26"/>
        <v>2.3780568579568215E-15</v>
      </c>
      <c r="L169" s="17">
        <f t="shared" si="27"/>
        <v>2.0618805003261094E-20</v>
      </c>
      <c r="M169" s="17">
        <f t="shared" si="28"/>
        <v>2.4359448472578952E-21</v>
      </c>
      <c r="N169" s="17">
        <f t="shared" si="29"/>
        <v>0.11211128146990726</v>
      </c>
      <c r="O169" s="17">
        <f t="shared" si="30"/>
        <v>1.362820011649949E-14</v>
      </c>
    </row>
    <row r="170" spans="4:15" x14ac:dyDescent="0.3">
      <c r="D170" s="17">
        <f>TL!D190</f>
        <v>556</v>
      </c>
      <c r="E170" s="17">
        <f>TL!C190</f>
        <v>4862</v>
      </c>
      <c r="F170" s="17">
        <f t="shared" si="21"/>
        <v>3.8175106141648655E-8</v>
      </c>
      <c r="G170" s="17">
        <f t="shared" si="22"/>
        <v>7.8417773735894278E-11</v>
      </c>
      <c r="H170" s="17">
        <f t="shared" si="23"/>
        <v>8.2350611241625282E-12</v>
      </c>
      <c r="I170" s="17">
        <f t="shared" si="24"/>
        <v>2.0816509543874371E-14</v>
      </c>
      <c r="J170" s="17">
        <f t="shared" si="25"/>
        <v>1.322523474912947E-19</v>
      </c>
      <c r="K170" s="17">
        <f t="shared" si="26"/>
        <v>2.7291781653446342E-15</v>
      </c>
      <c r="L170" s="17">
        <f t="shared" si="27"/>
        <v>2.4654705618140231E-20</v>
      </c>
      <c r="M170" s="17">
        <f t="shared" si="28"/>
        <v>2.9348049225629355E-21</v>
      </c>
      <c r="N170" s="17">
        <f t="shared" si="29"/>
        <v>0.11530926629931826</v>
      </c>
      <c r="O170" s="17">
        <f t="shared" si="30"/>
        <v>1.5544845402386573E-14</v>
      </c>
    </row>
    <row r="171" spans="4:15" x14ac:dyDescent="0.3">
      <c r="D171" s="17">
        <f>TL!D191</f>
        <v>557</v>
      </c>
      <c r="E171" s="17">
        <f>TL!C191</f>
        <v>4788</v>
      </c>
      <c r="F171" s="17">
        <f t="shared" si="21"/>
        <v>3.9725947829567638E-8</v>
      </c>
      <c r="G171" s="17">
        <f t="shared" si="22"/>
        <v>8.248456046275569E-11</v>
      </c>
      <c r="H171" s="17">
        <f t="shared" si="23"/>
        <v>8.6962130714061445E-12</v>
      </c>
      <c r="I171" s="17">
        <f t="shared" si="24"/>
        <v>2.221313445403549E-14</v>
      </c>
      <c r="J171" s="17">
        <f t="shared" si="25"/>
        <v>1.4412248711350942E-19</v>
      </c>
      <c r="K171" s="17">
        <f t="shared" si="26"/>
        <v>2.9226688050341269E-15</v>
      </c>
      <c r="L171" s="17">
        <f t="shared" si="27"/>
        <v>2.6947155758313433E-20</v>
      </c>
      <c r="M171" s="17">
        <f t="shared" si="28"/>
        <v>3.2197434375774649E-21</v>
      </c>
      <c r="N171" s="17">
        <f t="shared" si="29"/>
        <v>0.11693392653252832</v>
      </c>
      <c r="O171" s="17">
        <f t="shared" si="30"/>
        <v>1.659626662884551E-14</v>
      </c>
    </row>
    <row r="172" spans="4:15" x14ac:dyDescent="0.3">
      <c r="D172" s="17">
        <f>TL!D192</f>
        <v>559</v>
      </c>
      <c r="E172" s="17">
        <f>TL!C192</f>
        <v>4580</v>
      </c>
      <c r="F172" s="17">
        <f t="shared" si="21"/>
        <v>4.3001545962161772E-8</v>
      </c>
      <c r="G172" s="17">
        <f t="shared" si="22"/>
        <v>9.1213880654163216E-11</v>
      </c>
      <c r="H172" s="17">
        <f t="shared" si="23"/>
        <v>9.6919369016937664E-12</v>
      </c>
      <c r="I172" s="17">
        <f t="shared" si="24"/>
        <v>2.5276610686107423E-14</v>
      </c>
      <c r="J172" s="17">
        <f t="shared" si="25"/>
        <v>1.7099986850796372E-19</v>
      </c>
      <c r="K172" s="17">
        <f t="shared" si="26"/>
        <v>3.3493736550302745E-15</v>
      </c>
      <c r="L172" s="17">
        <f t="shared" si="27"/>
        <v>3.2161233047230223E-20</v>
      </c>
      <c r="M172" s="17">
        <f t="shared" si="28"/>
        <v>3.8715189655437315E-21</v>
      </c>
      <c r="N172" s="17">
        <f t="shared" si="29"/>
        <v>0.12023515268900357</v>
      </c>
      <c r="O172" s="17">
        <f t="shared" si="30"/>
        <v>1.8904323493208423E-14</v>
      </c>
    </row>
    <row r="173" spans="4:15" x14ac:dyDescent="0.3">
      <c r="D173" s="17">
        <f>TL!D193</f>
        <v>560</v>
      </c>
      <c r="E173" s="17">
        <f>TL!C193</f>
        <v>4456</v>
      </c>
      <c r="F173" s="17">
        <f t="shared" si="21"/>
        <v>4.4730163166968259E-8</v>
      </c>
      <c r="G173" s="17">
        <f t="shared" si="22"/>
        <v>9.5894091704761443E-11</v>
      </c>
      <c r="H173" s="17">
        <f t="shared" si="23"/>
        <v>1.0228890002554205E-11</v>
      </c>
      <c r="I173" s="17">
        <f t="shared" si="24"/>
        <v>2.695423070290115E-14</v>
      </c>
      <c r="J173" s="17">
        <f t="shared" si="25"/>
        <v>1.8617991970266648E-19</v>
      </c>
      <c r="K173" s="17">
        <f t="shared" si="26"/>
        <v>3.5842721847074436E-15</v>
      </c>
      <c r="L173" s="17">
        <f t="shared" si="27"/>
        <v>3.5118889924194407E-20</v>
      </c>
      <c r="M173" s="17">
        <f t="shared" si="28"/>
        <v>4.2432731735911427E-21</v>
      </c>
      <c r="N173" s="17">
        <f t="shared" si="29"/>
        <v>0.12191194695843377</v>
      </c>
      <c r="O173" s="17">
        <f t="shared" si="30"/>
        <v>2.0169212087894876E-14</v>
      </c>
    </row>
    <row r="174" spans="4:15" x14ac:dyDescent="0.3">
      <c r="D174" s="17">
        <f>TL!D194</f>
        <v>562</v>
      </c>
      <c r="E174" s="17">
        <f>TL!C194</f>
        <v>4254</v>
      </c>
      <c r="F174" s="17">
        <f t="shared" si="21"/>
        <v>4.8379110892106291E-8</v>
      </c>
      <c r="G174" s="17">
        <f t="shared" si="22"/>
        <v>1.0593250417256035E-10</v>
      </c>
      <c r="H174" s="17">
        <f t="shared" si="23"/>
        <v>1.1387331787188337E-11</v>
      </c>
      <c r="I174" s="17">
        <f t="shared" si="24"/>
        <v>3.063041876220376E-14</v>
      </c>
      <c r="J174" s="17">
        <f t="shared" si="25"/>
        <v>2.2050604680330655E-19</v>
      </c>
      <c r="K174" s="17">
        <f t="shared" si="26"/>
        <v>4.1017505065981367E-15</v>
      </c>
      <c r="L174" s="17">
        <f t="shared" si="27"/>
        <v>4.1836653889837241E-20</v>
      </c>
      <c r="M174" s="17">
        <f t="shared" si="28"/>
        <v>5.0924056320452805E-21</v>
      </c>
      <c r="N174" s="17">
        <f t="shared" si="29"/>
        <v>0.12531846950158618</v>
      </c>
      <c r="O174" s="17">
        <f t="shared" si="30"/>
        <v>2.2943093049998398E-14</v>
      </c>
    </row>
    <row r="175" spans="4:15" x14ac:dyDescent="0.3">
      <c r="D175" s="17">
        <f>TL!D195</f>
        <v>563</v>
      </c>
      <c r="E175" s="17">
        <f>TL!C195</f>
        <v>3948</v>
      </c>
      <c r="F175" s="17">
        <f t="shared" si="21"/>
        <v>5.0303648229799938E-8</v>
      </c>
      <c r="G175" s="17">
        <f t="shared" si="22"/>
        <v>1.1131059344983727E-10</v>
      </c>
      <c r="H175" s="17">
        <f t="shared" si="23"/>
        <v>1.2011530869434976E-11</v>
      </c>
      <c r="I175" s="17">
        <f t="shared" si="24"/>
        <v>3.2641630677659327E-14</v>
      </c>
      <c r="J175" s="17">
        <f t="shared" si="25"/>
        <v>2.3986808551133194E-19</v>
      </c>
      <c r="K175" s="17">
        <f t="shared" si="26"/>
        <v>4.386328926075902E-15</v>
      </c>
      <c r="L175" s="17">
        <f t="shared" si="27"/>
        <v>4.5642185012621571E-20</v>
      </c>
      <c r="M175" s="17">
        <f t="shared" si="28"/>
        <v>5.57605256958094E-21</v>
      </c>
      <c r="N175" s="17">
        <f t="shared" si="29"/>
        <v>0.12704842670707409</v>
      </c>
      <c r="O175" s="17">
        <f t="shared" si="30"/>
        <v>2.4461790206289137E-14</v>
      </c>
    </row>
    <row r="176" spans="4:15" x14ac:dyDescent="0.3">
      <c r="D176" s="17">
        <f>TL!D196</f>
        <v>565</v>
      </c>
      <c r="E176" s="17">
        <f>TL!C196</f>
        <v>3702</v>
      </c>
      <c r="F176" s="17">
        <f t="shared" si="21"/>
        <v>5.4363824411573924E-8</v>
      </c>
      <c r="G176" s="17">
        <f t="shared" si="22"/>
        <v>1.2283725262453036E-10</v>
      </c>
      <c r="H176" s="17">
        <f t="shared" si="23"/>
        <v>1.3357111440226455E-11</v>
      </c>
      <c r="I176" s="17">
        <f t="shared" si="24"/>
        <v>3.7044524863800267E-14</v>
      </c>
      <c r="J176" s="17">
        <f t="shared" si="25"/>
        <v>2.8359334661789179E-19</v>
      </c>
      <c r="K176" s="17">
        <f t="shared" si="26"/>
        <v>5.012604366029201E-15</v>
      </c>
      <c r="L176" s="17">
        <f t="shared" si="27"/>
        <v>5.4273983048038215E-20</v>
      </c>
      <c r="M176" s="17">
        <f t="shared" si="28"/>
        <v>6.6791928330101703E-21</v>
      </c>
      <c r="N176" s="17">
        <f t="shared" si="29"/>
        <v>0.13056230596671373</v>
      </c>
      <c r="O176" s="17">
        <f t="shared" si="30"/>
        <v>2.778899448154314E-14</v>
      </c>
    </row>
    <row r="177" spans="4:15" x14ac:dyDescent="0.3">
      <c r="D177" s="17">
        <f>TL!D197</f>
        <v>566</v>
      </c>
      <c r="E177" s="17">
        <f>TL!C197</f>
        <v>3434</v>
      </c>
      <c r="F177" s="17">
        <f t="shared" si="21"/>
        <v>5.6504042395831507E-8</v>
      </c>
      <c r="G177" s="17">
        <f t="shared" si="22"/>
        <v>1.2900816629117599E-10</v>
      </c>
      <c r="H177" s="17">
        <f t="shared" si="23"/>
        <v>1.408157339801208E-11</v>
      </c>
      <c r="I177" s="17">
        <f t="shared" si="24"/>
        <v>3.9451025630061315E-14</v>
      </c>
      <c r="J177" s="17">
        <f t="shared" si="25"/>
        <v>3.0822579065489982E-19</v>
      </c>
      <c r="K177" s="17">
        <f t="shared" si="26"/>
        <v>5.3566683820902951E-15</v>
      </c>
      <c r="L177" s="17">
        <f t="shared" si="27"/>
        <v>5.9157370119147027E-20</v>
      </c>
      <c r="M177" s="17">
        <f t="shared" si="28"/>
        <v>7.3066562521090744E-21</v>
      </c>
      <c r="N177" s="17">
        <f t="shared" si="29"/>
        <v>0.13234645745411217</v>
      </c>
      <c r="O177" s="17">
        <f t="shared" si="30"/>
        <v>2.9608892619165026E-14</v>
      </c>
    </row>
    <row r="178" spans="4:15" x14ac:dyDescent="0.3">
      <c r="D178" s="17">
        <f>TL!D198</f>
        <v>568</v>
      </c>
      <c r="E178" s="17">
        <f>TL!C198</f>
        <v>3260</v>
      </c>
      <c r="F178" s="17">
        <f t="shared" si="21"/>
        <v>6.1016677872360995E-8</v>
      </c>
      <c r="G178" s="17">
        <f t="shared" si="22"/>
        <v>1.4222434560371957E-10</v>
      </c>
      <c r="H178" s="17">
        <f t="shared" si="23"/>
        <v>1.5642047212620339E-11</v>
      </c>
      <c r="I178" s="17">
        <f t="shared" si="24"/>
        <v>4.4714220756043342E-14</v>
      </c>
      <c r="J178" s="17">
        <f t="shared" si="25"/>
        <v>3.6378137310569978E-19</v>
      </c>
      <c r="K178" s="17">
        <f t="shared" si="26"/>
        <v>6.1130855585459409E-15</v>
      </c>
      <c r="L178" s="17">
        <f t="shared" si="27"/>
        <v>7.021916577863899E-20</v>
      </c>
      <c r="M178" s="17">
        <f t="shared" si="28"/>
        <v>8.7358243860734988E-21</v>
      </c>
      <c r="N178" s="17">
        <f t="shared" si="29"/>
        <v>0.13596975827320068</v>
      </c>
      <c r="O178" s="17">
        <f t="shared" si="30"/>
        <v>3.3592118392823848E-14</v>
      </c>
    </row>
    <row r="179" spans="4:15" x14ac:dyDescent="0.3">
      <c r="D179" s="17">
        <f>TL!D199</f>
        <v>569</v>
      </c>
      <c r="E179" s="17">
        <f>TL!C199</f>
        <v>3100</v>
      </c>
      <c r="F179" s="17">
        <f t="shared" si="21"/>
        <v>6.3394074696337099E-8</v>
      </c>
      <c r="G179" s="17">
        <f t="shared" si="22"/>
        <v>1.4929468029680008E-10</v>
      </c>
      <c r="H179" s="17">
        <f t="shared" si="23"/>
        <v>1.6481554984696413E-11</v>
      </c>
      <c r="I179" s="17">
        <f t="shared" si="24"/>
        <v>4.7588251075493258E-14</v>
      </c>
      <c r="J179" s="17">
        <f t="shared" si="25"/>
        <v>3.9503930566224249E-19</v>
      </c>
      <c r="K179" s="17">
        <f t="shared" si="26"/>
        <v>6.528236636923349E-15</v>
      </c>
      <c r="L179" s="17">
        <f t="shared" si="27"/>
        <v>7.6469220068734071E-20</v>
      </c>
      <c r="M179" s="17">
        <f t="shared" si="28"/>
        <v>9.5476355064054059E-21</v>
      </c>
      <c r="N179" s="17">
        <f t="shared" si="29"/>
        <v>0.13780913745523624</v>
      </c>
      <c r="O179" s="17">
        <f t="shared" si="30"/>
        <v>3.5768792054000512E-14</v>
      </c>
    </row>
    <row r="180" spans="4:15" x14ac:dyDescent="0.3">
      <c r="D180" s="17">
        <f>TL!D200</f>
        <v>571</v>
      </c>
      <c r="E180" s="17">
        <f>TL!C200</f>
        <v>2878</v>
      </c>
      <c r="F180" s="17">
        <f t="shared" si="21"/>
        <v>6.8404003145253133E-8</v>
      </c>
      <c r="G180" s="17">
        <f t="shared" si="22"/>
        <v>1.6442619778152496E-10</v>
      </c>
      <c r="H180" s="17">
        <f t="shared" si="23"/>
        <v>1.8288418785975984E-11</v>
      </c>
      <c r="I180" s="17">
        <f t="shared" si="24"/>
        <v>5.3868031791515242E-14</v>
      </c>
      <c r="J180" s="17">
        <f t="shared" si="25"/>
        <v>4.6544831675724046E-19</v>
      </c>
      <c r="K180" s="17">
        <f t="shared" si="26"/>
        <v>7.4400249298200621E-15</v>
      </c>
      <c r="L180" s="17">
        <f t="shared" si="27"/>
        <v>9.0608132714526921E-20</v>
      </c>
      <c r="M180" s="17">
        <f t="shared" si="28"/>
        <v>1.1394147746613592E-20</v>
      </c>
      <c r="N180" s="17">
        <f t="shared" si="29"/>
        <v>0.1415439284304833</v>
      </c>
      <c r="O180" s="17">
        <f t="shared" si="30"/>
        <v>4.0528358482015323E-14</v>
      </c>
    </row>
    <row r="181" spans="4:15" x14ac:dyDescent="0.3">
      <c r="D181" s="17">
        <f>TL!D201</f>
        <v>572</v>
      </c>
      <c r="E181" s="17">
        <f>TL!C201</f>
        <v>2726</v>
      </c>
      <c r="F181" s="17">
        <f t="shared" si="21"/>
        <v>7.1041943835874307E-8</v>
      </c>
      <c r="G181" s="17">
        <f t="shared" si="22"/>
        <v>1.7251546992663776E-10</v>
      </c>
      <c r="H181" s="17">
        <f t="shared" si="23"/>
        <v>1.9259736460141164E-11</v>
      </c>
      <c r="I181" s="17">
        <f t="shared" si="24"/>
        <v>5.7294027478756025E-14</v>
      </c>
      <c r="J181" s="17">
        <f t="shared" si="25"/>
        <v>5.0501473137085013E-19</v>
      </c>
      <c r="K181" s="17">
        <f t="shared" si="26"/>
        <v>7.939963237099894E-15</v>
      </c>
      <c r="L181" s="17">
        <f t="shared" si="27"/>
        <v>9.858663183985847E-20</v>
      </c>
      <c r="M181" s="17">
        <f t="shared" si="28"/>
        <v>1.2441630754557909E-20</v>
      </c>
      <c r="N181" s="17">
        <f t="shared" si="29"/>
        <v>0.14343957040654259</v>
      </c>
      <c r="O181" s="17">
        <f t="shared" si="30"/>
        <v>4.3126859954690214E-14</v>
      </c>
    </row>
    <row r="182" spans="4:15" x14ac:dyDescent="0.3">
      <c r="D182" s="17">
        <f>TL!D202</f>
        <v>574</v>
      </c>
      <c r="E182" s="17">
        <f>TL!C202</f>
        <v>2544</v>
      </c>
      <c r="F182" s="17">
        <f t="shared" si="21"/>
        <v>7.6597867704476855E-8</v>
      </c>
      <c r="G182" s="17">
        <f t="shared" si="22"/>
        <v>1.898153448421242E-10</v>
      </c>
      <c r="H182" s="17">
        <f t="shared" si="23"/>
        <v>2.1348682133502871E-11</v>
      </c>
      <c r="I182" s="17">
        <f t="shared" si="24"/>
        <v>6.4772899250066067E-14</v>
      </c>
      <c r="J182" s="17">
        <f t="shared" si="25"/>
        <v>5.9402727673003405E-19</v>
      </c>
      <c r="K182" s="17">
        <f t="shared" si="26"/>
        <v>9.0368879629474087E-15</v>
      </c>
      <c r="L182" s="17">
        <f t="shared" si="27"/>
        <v>1.1661225199826531E-19</v>
      </c>
      <c r="M182" s="17">
        <f t="shared" si="28"/>
        <v>1.4820967562249881E-20</v>
      </c>
      <c r="N182" s="17">
        <f t="shared" si="29"/>
        <v>0.14728792312706801</v>
      </c>
      <c r="O182" s="17">
        <f t="shared" si="30"/>
        <v>4.8803479590063302E-14</v>
      </c>
    </row>
    <row r="183" spans="4:15" x14ac:dyDescent="0.3">
      <c r="D183" s="17">
        <f>TL!D203</f>
        <v>575</v>
      </c>
      <c r="E183" s="17">
        <f>TL!C203</f>
        <v>2428</v>
      </c>
      <c r="F183" s="17">
        <f t="shared" si="21"/>
        <v>7.9521720970460675E-8</v>
      </c>
      <c r="G183" s="17">
        <f t="shared" si="22"/>
        <v>1.9905738000924216E-10</v>
      </c>
      <c r="H183" s="17">
        <f t="shared" si="23"/>
        <v>2.2470793155774902E-11</v>
      </c>
      <c r="I183" s="17">
        <f t="shared" si="24"/>
        <v>6.8849377116396651E-14</v>
      </c>
      <c r="J183" s="17">
        <f t="shared" si="25"/>
        <v>6.4398744171645429E-19</v>
      </c>
      <c r="K183" s="17">
        <f t="shared" si="26"/>
        <v>9.6377619561313278E-15</v>
      </c>
      <c r="L183" s="17">
        <f t="shared" si="27"/>
        <v>1.2677125317207003E-19</v>
      </c>
      <c r="M183" s="17">
        <f t="shared" si="28"/>
        <v>1.6168945494160524E-20</v>
      </c>
      <c r="N183" s="17">
        <f t="shared" si="29"/>
        <v>0.1492408643021193</v>
      </c>
      <c r="O183" s="17">
        <f t="shared" si="30"/>
        <v>5.1899820751505078E-14</v>
      </c>
    </row>
    <row r="184" spans="4:15" x14ac:dyDescent="0.3">
      <c r="D184" s="17">
        <f>TL!D204</f>
        <v>577</v>
      </c>
      <c r="E184" s="17">
        <f>TL!C204</f>
        <v>2308</v>
      </c>
      <c r="F184" s="17">
        <f t="shared" si="21"/>
        <v>8.5676493119921476E-8</v>
      </c>
      <c r="G184" s="17">
        <f t="shared" si="22"/>
        <v>2.1880873892285077E-10</v>
      </c>
      <c r="H184" s="17">
        <f t="shared" si="23"/>
        <v>2.4882208892188447E-11</v>
      </c>
      <c r="I184" s="17">
        <f t="shared" si="24"/>
        <v>7.774009531391746E-14</v>
      </c>
      <c r="J184" s="17">
        <f t="shared" si="25"/>
        <v>7.5624444993416593E-19</v>
      </c>
      <c r="K184" s="17">
        <f t="shared" si="26"/>
        <v>1.0954875147507985E-14</v>
      </c>
      <c r="L184" s="17">
        <f t="shared" si="27"/>
        <v>1.4969394831716773E-19</v>
      </c>
      <c r="M184" s="17">
        <f t="shared" si="28"/>
        <v>1.9226771153881172E-20</v>
      </c>
      <c r="N184" s="17">
        <f t="shared" si="29"/>
        <v>0.15320485258659469</v>
      </c>
      <c r="O184" s="17">
        <f t="shared" si="30"/>
        <v>5.8657767794693583E-14</v>
      </c>
    </row>
    <row r="185" spans="4:15" x14ac:dyDescent="0.3">
      <c r="D185" s="17">
        <f>TL!D205</f>
        <v>578</v>
      </c>
      <c r="E185" s="17">
        <f>TL!C205</f>
        <v>2304</v>
      </c>
      <c r="F185" s="17">
        <f t="shared" si="21"/>
        <v>8.8913776221619956E-8</v>
      </c>
      <c r="G185" s="17">
        <f t="shared" si="22"/>
        <v>2.2935319073276126E-10</v>
      </c>
      <c r="H185" s="17">
        <f t="shared" si="23"/>
        <v>2.6176579511777488E-11</v>
      </c>
      <c r="I185" s="17">
        <f t="shared" si="24"/>
        <v>8.2581803344326536E-14</v>
      </c>
      <c r="J185" s="17">
        <f t="shared" si="25"/>
        <v>8.1917599735022278E-19</v>
      </c>
      <c r="K185" s="17">
        <f t="shared" si="26"/>
        <v>1.1675684288646841E-14</v>
      </c>
      <c r="L185" s="17">
        <f t="shared" si="27"/>
        <v>1.6259694172256641E-19</v>
      </c>
      <c r="M185" s="17">
        <f t="shared" si="28"/>
        <v>2.0956907778316389E-20</v>
      </c>
      <c r="N185" s="17">
        <f t="shared" si="29"/>
        <v>0.15521613028945153</v>
      </c>
      <c r="O185" s="17">
        <f t="shared" si="30"/>
        <v>6.2340612132156914E-14</v>
      </c>
    </row>
    <row r="186" spans="4:15" x14ac:dyDescent="0.3">
      <c r="D186" s="17">
        <f>TL!D206</f>
        <v>580</v>
      </c>
      <c r="E186" s="17">
        <f>TL!C206</f>
        <v>2198</v>
      </c>
      <c r="F186" s="17">
        <f t="shared" si="21"/>
        <v>9.5724697948144704E-8</v>
      </c>
      <c r="G186" s="17">
        <f t="shared" si="22"/>
        <v>2.5187244267224439E-10</v>
      </c>
      <c r="H186" s="17">
        <f t="shared" si="23"/>
        <v>2.8956103698045329E-11</v>
      </c>
      <c r="I186" s="17">
        <f t="shared" si="24"/>
        <v>9.3131963230191792E-14</v>
      </c>
      <c r="J186" s="17">
        <f t="shared" si="25"/>
        <v>9.6040746050695346E-19</v>
      </c>
      <c r="K186" s="17">
        <f t="shared" si="26"/>
        <v>1.3254188812460937E-14</v>
      </c>
      <c r="L186" s="17">
        <f t="shared" si="27"/>
        <v>1.9167460315252058E-19</v>
      </c>
      <c r="M186" s="17">
        <f t="shared" si="28"/>
        <v>2.4876495663160359E-20</v>
      </c>
      <c r="N186" s="17">
        <f t="shared" si="29"/>
        <v>0.15929782942212162</v>
      </c>
      <c r="O186" s="17">
        <f t="shared" si="30"/>
        <v>7.0371337067319787E-14</v>
      </c>
    </row>
    <row r="187" spans="4:15" x14ac:dyDescent="0.3">
      <c r="D187" s="17">
        <f>TL!D207</f>
        <v>581</v>
      </c>
      <c r="E187" s="17">
        <f>TL!C207</f>
        <v>2152</v>
      </c>
      <c r="F187" s="17">
        <f t="shared" si="21"/>
        <v>9.930522992398438E-8</v>
      </c>
      <c r="G187" s="17">
        <f t="shared" si="22"/>
        <v>2.6388645135354186E-10</v>
      </c>
      <c r="H187" s="17">
        <f t="shared" si="23"/>
        <v>3.0446973940693166E-11</v>
      </c>
      <c r="I187" s="17">
        <f t="shared" si="24"/>
        <v>9.8872328131768167E-14</v>
      </c>
      <c r="J187" s="17">
        <f t="shared" si="25"/>
        <v>1.0394892805053843E-18</v>
      </c>
      <c r="K187" s="17">
        <f t="shared" si="26"/>
        <v>1.4117246683364953E-14</v>
      </c>
      <c r="L187" s="17">
        <f t="shared" si="27"/>
        <v>2.0802229710910109E-19</v>
      </c>
      <c r="M187" s="17">
        <f t="shared" si="28"/>
        <v>2.7091412796941112E-20</v>
      </c>
      <c r="N187" s="17">
        <f t="shared" si="29"/>
        <v>0.16136848152324468</v>
      </c>
      <c r="O187" s="17">
        <f t="shared" si="30"/>
        <v>7.4743928536425471E-14</v>
      </c>
    </row>
    <row r="188" spans="4:15" x14ac:dyDescent="0.3">
      <c r="D188" s="17">
        <f>TL!D208</f>
        <v>583</v>
      </c>
      <c r="E188" s="17">
        <f>TL!C208</f>
        <v>2148</v>
      </c>
      <c r="F188" s="17">
        <f t="shared" si="21"/>
        <v>1.0683436603299678E-7</v>
      </c>
      <c r="G188" s="17">
        <f t="shared" si="22"/>
        <v>2.8952675283578481E-10</v>
      </c>
      <c r="H188" s="17">
        <f t="shared" si="23"/>
        <v>3.364610653072627E-11</v>
      </c>
      <c r="I188" s="17">
        <f t="shared" si="24"/>
        <v>1.113695854464646E-13</v>
      </c>
      <c r="J188" s="17">
        <f t="shared" si="25"/>
        <v>1.216753608336151E-18</v>
      </c>
      <c r="K188" s="17">
        <f t="shared" si="26"/>
        <v>1.6005489110741443E-14</v>
      </c>
      <c r="L188" s="17">
        <f t="shared" si="27"/>
        <v>2.4481725648196206E-19</v>
      </c>
      <c r="M188" s="17">
        <f t="shared" si="28"/>
        <v>3.2102782421413597E-20</v>
      </c>
      <c r="N188" s="17">
        <f t="shared" si="29"/>
        <v>0.1655699674892229</v>
      </c>
      <c r="O188" s="17">
        <f t="shared" si="30"/>
        <v>8.427017537855364E-14</v>
      </c>
    </row>
    <row r="189" spans="4:15" x14ac:dyDescent="0.3">
      <c r="D189" s="17">
        <f>TL!D209</f>
        <v>584</v>
      </c>
      <c r="E189" s="17">
        <f>TL!C209</f>
        <v>2152</v>
      </c>
      <c r="F189" s="17">
        <f t="shared" si="21"/>
        <v>1.1079042962376003E-7</v>
      </c>
      <c r="G189" s="17">
        <f t="shared" si="22"/>
        <v>3.0319675414800993E-10</v>
      </c>
      <c r="H189" s="17">
        <f t="shared" si="23"/>
        <v>3.5360811163654425E-11</v>
      </c>
      <c r="I189" s="17">
        <f t="shared" si="24"/>
        <v>1.1816349426787448E-13</v>
      </c>
      <c r="J189" s="17">
        <f t="shared" si="25"/>
        <v>1.3158971846880908E-18</v>
      </c>
      <c r="K189" s="17">
        <f t="shared" si="26"/>
        <v>1.7036955085311244E-14</v>
      </c>
      <c r="L189" s="17">
        <f t="shared" si="27"/>
        <v>2.6547893670429418E-19</v>
      </c>
      <c r="M189" s="17">
        <f t="shared" si="28"/>
        <v>3.4931120450319912E-20</v>
      </c>
      <c r="N189" s="17">
        <f t="shared" si="29"/>
        <v>0.16770103201825629</v>
      </c>
      <c r="O189" s="17">
        <f t="shared" si="30"/>
        <v>8.945253372363553E-14</v>
      </c>
    </row>
    <row r="190" spans="4:15" x14ac:dyDescent="0.3">
      <c r="D190" s="17">
        <f>TL!D210</f>
        <v>586</v>
      </c>
      <c r="E190" s="17">
        <f>TL!C210</f>
        <v>2234</v>
      </c>
      <c r="F190" s="17">
        <f t="shared" si="21"/>
        <v>1.1910494124590929E-7</v>
      </c>
      <c r="G190" s="17">
        <f t="shared" si="22"/>
        <v>3.3235178615106322E-10</v>
      </c>
      <c r="H190" s="17">
        <f t="shared" si="23"/>
        <v>3.9037587635277752E-11</v>
      </c>
      <c r="I190" s="17">
        <f t="shared" si="24"/>
        <v>1.3294149369715989E-13</v>
      </c>
      <c r="J190" s="17">
        <f t="shared" si="25"/>
        <v>1.5378695681936421E-18</v>
      </c>
      <c r="K190" s="17">
        <f t="shared" si="26"/>
        <v>1.9291564581765261E-14</v>
      </c>
      <c r="L190" s="17">
        <f t="shared" si="27"/>
        <v>3.1192710740583494E-19</v>
      </c>
      <c r="M190" s="17">
        <f t="shared" si="28"/>
        <v>4.1322254212555229E-20</v>
      </c>
      <c r="N190" s="17">
        <f t="shared" si="29"/>
        <v>0.1720243807384757</v>
      </c>
      <c r="O190" s="17">
        <f t="shared" si="30"/>
        <v>1.007330223039009E-13</v>
      </c>
    </row>
    <row r="191" spans="4:15" x14ac:dyDescent="0.3">
      <c r="D191" s="17">
        <f>TL!D211</f>
        <v>587</v>
      </c>
      <c r="E191" s="17">
        <f>TL!C211</f>
        <v>2240</v>
      </c>
      <c r="F191" s="17">
        <f t="shared" si="21"/>
        <v>1.2347145386436439E-7</v>
      </c>
      <c r="G191" s="17">
        <f t="shared" si="22"/>
        <v>3.4788548203009292E-10</v>
      </c>
      <c r="H191" s="17">
        <f t="shared" si="23"/>
        <v>4.1006909767171989E-11</v>
      </c>
      <c r="I191" s="17">
        <f t="shared" si="24"/>
        <v>1.4096845017493779E-13</v>
      </c>
      <c r="J191" s="17">
        <f t="shared" si="25"/>
        <v>1.6618770366188551E-18</v>
      </c>
      <c r="K191" s="17">
        <f t="shared" si="26"/>
        <v>2.0522053188475774E-14</v>
      </c>
      <c r="L191" s="17">
        <f t="shared" si="27"/>
        <v>3.379786894882243E-19</v>
      </c>
      <c r="M191" s="17">
        <f t="shared" si="28"/>
        <v>4.4924877219238259E-20</v>
      </c>
      <c r="N191" s="17">
        <f t="shared" si="29"/>
        <v>0.17421689550170383</v>
      </c>
      <c r="O191" s="17">
        <f t="shared" si="30"/>
        <v>1.0686443770786911E-13</v>
      </c>
    </row>
    <row r="192" spans="4:15" x14ac:dyDescent="0.3">
      <c r="D192" s="17">
        <f>TL!D212</f>
        <v>589</v>
      </c>
      <c r="E192" s="17">
        <f>TL!C212</f>
        <v>2288</v>
      </c>
      <c r="F192" s="17">
        <f t="shared" si="21"/>
        <v>1.3264394971444382E-7</v>
      </c>
      <c r="G192" s="17">
        <f t="shared" si="22"/>
        <v>3.8099356228071157E-10</v>
      </c>
      <c r="H192" s="17">
        <f t="shared" si="23"/>
        <v>4.5226643139081046E-11</v>
      </c>
      <c r="I192" s="17">
        <f t="shared" si="24"/>
        <v>1.5841354724140547E-13</v>
      </c>
      <c r="J192" s="17">
        <f t="shared" si="25"/>
        <v>1.9391961098029292E-18</v>
      </c>
      <c r="K192" s="17">
        <f t="shared" si="26"/>
        <v>2.3209245741639805E-14</v>
      </c>
      <c r="L192" s="17">
        <f t="shared" si="27"/>
        <v>3.9647337103029724E-19</v>
      </c>
      <c r="M192" s="17">
        <f t="shared" si="28"/>
        <v>5.3055457979829142E-20</v>
      </c>
      <c r="N192" s="17">
        <f t="shared" si="29"/>
        <v>0.1786641820678983</v>
      </c>
      <c r="O192" s="17">
        <f t="shared" si="30"/>
        <v>1.2019918020712355E-13</v>
      </c>
    </row>
    <row r="193" spans="4:15" x14ac:dyDescent="0.3">
      <c r="D193" s="17">
        <f>TL!D213</f>
        <v>590</v>
      </c>
      <c r="E193" s="17">
        <f>TL!C213</f>
        <v>2358</v>
      </c>
      <c r="F193" s="17">
        <f t="shared" si="21"/>
        <v>1.3745864381384624E-7</v>
      </c>
      <c r="G193" s="17">
        <f t="shared" si="22"/>
        <v>3.9862206522811285E-10</v>
      </c>
      <c r="H193" s="17">
        <f t="shared" si="23"/>
        <v>4.748520328851701E-11</v>
      </c>
      <c r="I193" s="17">
        <f t="shared" si="24"/>
        <v>1.6788124784504512E-13</v>
      </c>
      <c r="J193" s="17">
        <f t="shared" si="25"/>
        <v>2.0939500709379709E-18</v>
      </c>
      <c r="K193" s="17">
        <f t="shared" si="26"/>
        <v>2.4674523924162321E-14</v>
      </c>
      <c r="L193" s="17">
        <f t="shared" si="27"/>
        <v>4.2924347245889268E-19</v>
      </c>
      <c r="M193" s="17">
        <f t="shared" si="28"/>
        <v>5.7633044710038046E-20</v>
      </c>
      <c r="N193" s="17">
        <f t="shared" si="29"/>
        <v>0.1809191842658085</v>
      </c>
      <c r="O193" s="17">
        <f t="shared" si="30"/>
        <v>1.2744104368251304E-13</v>
      </c>
    </row>
    <row r="194" spans="4:15" x14ac:dyDescent="0.3">
      <c r="D194" s="17">
        <f>TL!D214</f>
        <v>592</v>
      </c>
      <c r="E194" s="17">
        <f>TL!C214</f>
        <v>2400</v>
      </c>
      <c r="F194" s="17">
        <f t="shared" si="21"/>
        <v>1.4756755060551585E-7</v>
      </c>
      <c r="G194" s="17">
        <f t="shared" si="22"/>
        <v>4.3617062053345811E-10</v>
      </c>
      <c r="H194" s="17">
        <f t="shared" si="23"/>
        <v>5.2321300061987165E-11</v>
      </c>
      <c r="I194" s="17">
        <f t="shared" si="24"/>
        <v>1.8844011878190943E-13</v>
      </c>
      <c r="J194" s="17">
        <f t="shared" si="25"/>
        <v>2.4396337756046606E-18</v>
      </c>
      <c r="K194" s="17">
        <f t="shared" si="26"/>
        <v>2.7871593484286158E-14</v>
      </c>
      <c r="L194" s="17">
        <f t="shared" si="27"/>
        <v>5.027367043554712E-19</v>
      </c>
      <c r="M194" s="17">
        <f t="shared" si="28"/>
        <v>6.7951241999733759E-20</v>
      </c>
      <c r="N194" s="17">
        <f t="shared" si="29"/>
        <v>0.18549248217588291</v>
      </c>
      <c r="O194" s="17">
        <f t="shared" si="30"/>
        <v>1.4317737202923442E-13</v>
      </c>
    </row>
    <row r="195" spans="4:15" x14ac:dyDescent="0.3">
      <c r="D195" s="17">
        <f>TL!D215</f>
        <v>593</v>
      </c>
      <c r="E195" s="17">
        <f>TL!C215</f>
        <v>2458</v>
      </c>
      <c r="F195" s="17">
        <f t="shared" si="21"/>
        <v>1.5287116380630067E-7</v>
      </c>
      <c r="G195" s="17">
        <f t="shared" si="22"/>
        <v>4.5615078446239485E-10</v>
      </c>
      <c r="H195" s="17">
        <f t="shared" si="23"/>
        <v>5.4907983727768431E-11</v>
      </c>
      <c r="I195" s="17">
        <f t="shared" si="24"/>
        <v>1.995884981321476E-13</v>
      </c>
      <c r="J195" s="17">
        <f t="shared" si="25"/>
        <v>2.6323247640626548E-18</v>
      </c>
      <c r="K195" s="17">
        <f t="shared" si="26"/>
        <v>2.9613377152696067E-14</v>
      </c>
      <c r="L195" s="17">
        <f t="shared" si="27"/>
        <v>5.4386230454309069E-19</v>
      </c>
      <c r="M195" s="17">
        <f t="shared" si="28"/>
        <v>7.375355096176066E-20</v>
      </c>
      <c r="N195" s="17">
        <f t="shared" si="29"/>
        <v>0.1878110080210133</v>
      </c>
      <c r="O195" s="17">
        <f t="shared" si="30"/>
        <v>1.5171638182944364E-13</v>
      </c>
    </row>
    <row r="196" spans="4:15" x14ac:dyDescent="0.3">
      <c r="D196" s="17">
        <f>TL!D216</f>
        <v>595</v>
      </c>
      <c r="E196" s="17">
        <f>TL!C216</f>
        <v>2498</v>
      </c>
      <c r="F196" s="17">
        <f t="shared" si="21"/>
        <v>1.6400111654682211E-7</v>
      </c>
      <c r="G196" s="17">
        <f t="shared" si="22"/>
        <v>4.9868120922168745E-10</v>
      </c>
      <c r="H196" s="17">
        <f t="shared" si="23"/>
        <v>6.0442840028166222E-11</v>
      </c>
      <c r="I196" s="17">
        <f t="shared" si="24"/>
        <v>2.2377674210889635E-13</v>
      </c>
      <c r="J196" s="17">
        <f t="shared" si="25"/>
        <v>3.06226819430479E-18</v>
      </c>
      <c r="K196" s="17">
        <f t="shared" si="26"/>
        <v>3.341039774607695E-14</v>
      </c>
      <c r="L196" s="17">
        <f t="shared" si="27"/>
        <v>6.3598717960473688E-19</v>
      </c>
      <c r="M196" s="17">
        <f t="shared" si="28"/>
        <v>8.681648588356566E-20</v>
      </c>
      <c r="N196" s="17">
        <f t="shared" si="29"/>
        <v>0.19251238841515747</v>
      </c>
      <c r="O196" s="17">
        <f t="shared" si="30"/>
        <v>1.7025577065433267E-13</v>
      </c>
    </row>
    <row r="197" spans="4:15" x14ac:dyDescent="0.3">
      <c r="D197" s="17">
        <f>TL!D217</f>
        <v>596</v>
      </c>
      <c r="E197" s="17">
        <f>TL!C217</f>
        <v>2424</v>
      </c>
      <c r="F197" s="17">
        <f t="shared" si="21"/>
        <v>1.6983759188631901E-7</v>
      </c>
      <c r="G197" s="17">
        <f t="shared" si="22"/>
        <v>5.2129816018823862E-10</v>
      </c>
      <c r="H197" s="17">
        <f t="shared" si="23"/>
        <v>6.34012670054894E-11</v>
      </c>
      <c r="I197" s="17">
        <f t="shared" si="24"/>
        <v>2.3688254255945471E-13</v>
      </c>
      <c r="J197" s="17">
        <f t="shared" si="25"/>
        <v>3.3016667113655248E-18</v>
      </c>
      <c r="K197" s="17">
        <f t="shared" si="26"/>
        <v>3.5477260313648759E-14</v>
      </c>
      <c r="L197" s="17">
        <f t="shared" si="27"/>
        <v>6.8748071900711225E-19</v>
      </c>
      <c r="M197" s="17">
        <f t="shared" si="28"/>
        <v>9.4153638369487602E-20</v>
      </c>
      <c r="N197" s="17">
        <f t="shared" si="29"/>
        <v>0.19489547275040145</v>
      </c>
      <c r="O197" s="17">
        <f t="shared" si="30"/>
        <v>1.8030755919796537E-13</v>
      </c>
    </row>
    <row r="198" spans="4:15" x14ac:dyDescent="0.3">
      <c r="D198" s="17">
        <f>TL!D218</f>
        <v>598</v>
      </c>
      <c r="E198" s="17">
        <f>TL!C218</f>
        <v>2454</v>
      </c>
      <c r="F198" s="17">
        <f t="shared" si="21"/>
        <v>1.8207984478628821E-7</v>
      </c>
      <c r="G198" s="17">
        <f t="shared" si="22"/>
        <v>5.6941108867824313E-10</v>
      </c>
      <c r="H198" s="17">
        <f t="shared" si="23"/>
        <v>6.9727251630107841E-11</v>
      </c>
      <c r="I198" s="17">
        <f t="shared" si="24"/>
        <v>2.6529439129637978E-13</v>
      </c>
      <c r="J198" s="17">
        <f t="shared" si="25"/>
        <v>3.8352368776570674E-18</v>
      </c>
      <c r="K198" s="17">
        <f t="shared" si="26"/>
        <v>3.9979025919808006E-14</v>
      </c>
      <c r="L198" s="17">
        <f t="shared" si="27"/>
        <v>8.0269867612062197E-19</v>
      </c>
      <c r="M198" s="17">
        <f t="shared" si="28"/>
        <v>1.1065227772326001E-19</v>
      </c>
      <c r="N198" s="17">
        <f t="shared" si="29"/>
        <v>0.19972700364828852</v>
      </c>
      <c r="O198" s="17">
        <f t="shared" si="30"/>
        <v>2.0211333783092762E-13</v>
      </c>
    </row>
    <row r="199" spans="4:15" x14ac:dyDescent="0.3">
      <c r="D199" s="17">
        <f>TL!D219</f>
        <v>599</v>
      </c>
      <c r="E199" s="17">
        <f>TL!C219</f>
        <v>2446</v>
      </c>
      <c r="F199" s="17">
        <f t="shared" si="21"/>
        <v>1.8849654146154494E-7</v>
      </c>
      <c r="G199" s="17">
        <f t="shared" si="22"/>
        <v>5.9498096966881449E-10</v>
      </c>
      <c r="H199" s="17">
        <f t="shared" si="23"/>
        <v>7.3106290537562731E-11</v>
      </c>
      <c r="I199" s="17">
        <f t="shared" si="24"/>
        <v>2.8067631702743724E-13</v>
      </c>
      <c r="J199" s="17">
        <f t="shared" si="25"/>
        <v>4.1320180568323266E-18</v>
      </c>
      <c r="K199" s="17">
        <f t="shared" si="26"/>
        <v>4.2427432950717193E-14</v>
      </c>
      <c r="L199" s="17">
        <f t="shared" si="27"/>
        <v>8.6702877448876105E-19</v>
      </c>
      <c r="M199" s="17">
        <f t="shared" si="28"/>
        <v>1.1990846783533724E-19</v>
      </c>
      <c r="N199" s="17">
        <f t="shared" si="29"/>
        <v>0.20217567956582533</v>
      </c>
      <c r="O199" s="17">
        <f t="shared" si="30"/>
        <v>2.1392656821739019E-13</v>
      </c>
    </row>
    <row r="200" spans="4:15" x14ac:dyDescent="0.3">
      <c r="D200" s="17">
        <f>TL!D220</f>
        <v>601</v>
      </c>
      <c r="E200" s="17">
        <f>TL!C220</f>
        <v>2410</v>
      </c>
      <c r="F200" s="17">
        <f t="shared" si="21"/>
        <v>2.0194940020483821E-7</v>
      </c>
      <c r="G200" s="17">
        <f t="shared" si="22"/>
        <v>6.493419912061644E-10</v>
      </c>
      <c r="H200" s="17">
        <f t="shared" si="23"/>
        <v>8.0326822069370439E-11</v>
      </c>
      <c r="I200" s="17">
        <f t="shared" si="24"/>
        <v>3.1399557841732883E-13</v>
      </c>
      <c r="J200" s="17">
        <f t="shared" si="25"/>
        <v>4.7927630051236469E-18</v>
      </c>
      <c r="K200" s="17">
        <f t="shared" si="26"/>
        <v>4.775566493042748E-14</v>
      </c>
      <c r="L200" s="17">
        <f t="shared" si="27"/>
        <v>1.0108066006207052E-18</v>
      </c>
      <c r="M200" s="17">
        <f t="shared" si="28"/>
        <v>1.4069783958149801E-19</v>
      </c>
      <c r="N200" s="17">
        <f t="shared" si="29"/>
        <v>0.20713942510522731</v>
      </c>
      <c r="O200" s="17">
        <f t="shared" si="30"/>
        <v>2.3953262477425829E-13</v>
      </c>
    </row>
    <row r="201" spans="4:15" x14ac:dyDescent="0.3">
      <c r="D201" s="17">
        <f>TL!D221</f>
        <v>602</v>
      </c>
      <c r="E201" s="17">
        <f>TL!C221</f>
        <v>2270</v>
      </c>
      <c r="F201" s="17">
        <f t="shared" si="21"/>
        <v>2.0899731518362002E-7</v>
      </c>
      <c r="G201" s="17">
        <f t="shared" si="22"/>
        <v>6.7821493591900918E-10</v>
      </c>
      <c r="H201" s="17">
        <f t="shared" si="23"/>
        <v>8.4181153783805704E-11</v>
      </c>
      <c r="I201" s="17">
        <f t="shared" si="24"/>
        <v>3.3202010041903215E-13</v>
      </c>
      <c r="J201" s="17">
        <f t="shared" si="25"/>
        <v>5.1598933186819656E-18</v>
      </c>
      <c r="K201" s="17">
        <f t="shared" si="26"/>
        <v>5.0651150591990486E-14</v>
      </c>
      <c r="L201" s="17">
        <f t="shared" si="27"/>
        <v>1.0909949567423746E-18</v>
      </c>
      <c r="M201" s="17">
        <f t="shared" si="28"/>
        <v>1.5234795701378922E-19</v>
      </c>
      <c r="N201" s="17">
        <f t="shared" si="29"/>
        <v>0.20965472356624232</v>
      </c>
      <c r="O201" s="17">
        <f t="shared" si="30"/>
        <v>2.5339361095099016E-13</v>
      </c>
    </row>
    <row r="202" spans="4:15" x14ac:dyDescent="0.3">
      <c r="D202" s="17">
        <f>TL!D222</f>
        <v>604</v>
      </c>
      <c r="E202" s="17">
        <f>TL!C222</f>
        <v>2164</v>
      </c>
      <c r="F202" s="17">
        <f t="shared" si="21"/>
        <v>2.2376659131240891E-7</v>
      </c>
      <c r="G202" s="17">
        <f t="shared" si="22"/>
        <v>7.3956078356264967E-10</v>
      </c>
      <c r="H202" s="17">
        <f t="shared" si="23"/>
        <v>9.241187940586334E-11</v>
      </c>
      <c r="I202" s="17">
        <f t="shared" si="24"/>
        <v>3.7103247533066232E-13</v>
      </c>
      <c r="J202" s="17">
        <f t="shared" si="25"/>
        <v>5.9763859131568682E-18</v>
      </c>
      <c r="K202" s="17">
        <f t="shared" si="26"/>
        <v>5.6947005736267147E-14</v>
      </c>
      <c r="L202" s="17">
        <f t="shared" si="27"/>
        <v>1.2700170517388114E-18</v>
      </c>
      <c r="M202" s="17">
        <f t="shared" si="28"/>
        <v>1.7848374526790608E-19</v>
      </c>
      <c r="N202" s="17">
        <f t="shared" si="29"/>
        <v>0.21475274324338478</v>
      </c>
      <c r="O202" s="17">
        <f t="shared" si="30"/>
        <v>2.8341420193987299E-13</v>
      </c>
    </row>
    <row r="203" spans="4:15" x14ac:dyDescent="0.3">
      <c r="D203" s="17">
        <f>TL!D223</f>
        <v>605</v>
      </c>
      <c r="E203" s="17">
        <f>TL!C223</f>
        <v>2046</v>
      </c>
      <c r="F203" s="17">
        <f t="shared" si="21"/>
        <v>2.3150059219209556E-7</v>
      </c>
      <c r="G203" s="17">
        <f t="shared" si="22"/>
        <v>7.7212413491443544E-10</v>
      </c>
      <c r="H203" s="17">
        <f t="shared" si="23"/>
        <v>9.6802613345365581E-11</v>
      </c>
      <c r="I203" s="17">
        <f t="shared" si="24"/>
        <v>3.9212036018844141E-13</v>
      </c>
      <c r="J203" s="17">
        <f t="shared" si="25"/>
        <v>6.4295828677777902E-18</v>
      </c>
      <c r="K203" s="17">
        <f t="shared" si="26"/>
        <v>6.0365508466528326E-14</v>
      </c>
      <c r="L203" s="17">
        <f t="shared" si="27"/>
        <v>1.3697545303903507E-18</v>
      </c>
      <c r="M203" s="17">
        <f t="shared" si="28"/>
        <v>1.9311348642759465E-19</v>
      </c>
      <c r="N203" s="17">
        <f t="shared" si="29"/>
        <v>0.21733569269873773</v>
      </c>
      <c r="O203" s="17">
        <f t="shared" si="30"/>
        <v>2.9965211198807622E-13</v>
      </c>
    </row>
    <row r="204" spans="4:15" x14ac:dyDescent="0.3">
      <c r="D204" s="17">
        <f>TL!D224</f>
        <v>607</v>
      </c>
      <c r="E204" s="17">
        <f>TL!C224</f>
        <v>1866</v>
      </c>
      <c r="F204" s="17">
        <f t="shared" si="21"/>
        <v>2.4770008037083166E-7</v>
      </c>
      <c r="G204" s="17">
        <f t="shared" si="22"/>
        <v>8.4126937998280959E-10</v>
      </c>
      <c r="H204" s="17">
        <f t="shared" si="23"/>
        <v>1.0617269748848213E-10</v>
      </c>
      <c r="I204" s="17">
        <f t="shared" si="24"/>
        <v>4.377272852218634E-13</v>
      </c>
      <c r="J204" s="17">
        <f t="shared" si="25"/>
        <v>7.436422847995159E-18</v>
      </c>
      <c r="K204" s="17">
        <f t="shared" si="26"/>
        <v>6.7792424328752216E-14</v>
      </c>
      <c r="L204" s="17">
        <f t="shared" si="27"/>
        <v>1.5921769426512604E-18</v>
      </c>
      <c r="M204" s="17">
        <f t="shared" si="28"/>
        <v>2.2589625857748799E-19</v>
      </c>
      <c r="N204" s="17">
        <f t="shared" si="29"/>
        <v>0.2225700406107029</v>
      </c>
      <c r="O204" s="17">
        <f t="shared" si="30"/>
        <v>3.3479290212402845E-13</v>
      </c>
    </row>
    <row r="205" spans="4:15" x14ac:dyDescent="0.3">
      <c r="D205" s="17">
        <f>TL!D225</f>
        <v>608</v>
      </c>
      <c r="E205" s="17">
        <f>TL!C225</f>
        <v>1708</v>
      </c>
      <c r="F205" s="17">
        <f t="shared" si="21"/>
        <v>2.5617914986932505E-7</v>
      </c>
      <c r="G205" s="17">
        <f t="shared" si="22"/>
        <v>8.7795116988960747E-10</v>
      </c>
      <c r="H205" s="17">
        <f t="shared" si="23"/>
        <v>1.1116804493836231E-10</v>
      </c>
      <c r="I205" s="17">
        <f t="shared" si="24"/>
        <v>4.6236092768467172E-13</v>
      </c>
      <c r="J205" s="17">
        <f t="shared" si="25"/>
        <v>7.9947003860341664E-18</v>
      </c>
      <c r="K205" s="17">
        <f t="shared" si="26"/>
        <v>7.1821801007733627E-14</v>
      </c>
      <c r="L205" s="17">
        <f t="shared" si="27"/>
        <v>1.7159623676856588E-18</v>
      </c>
      <c r="M205" s="17">
        <f t="shared" si="28"/>
        <v>2.4422640668142379E-19</v>
      </c>
      <c r="N205" s="17">
        <f t="shared" si="29"/>
        <v>0.22522166662269819</v>
      </c>
      <c r="O205" s="17">
        <f t="shared" si="30"/>
        <v>3.5378560998849325E-13</v>
      </c>
    </row>
    <row r="206" spans="4:15" x14ac:dyDescent="0.3">
      <c r="D206" s="17">
        <f>TL!D226</f>
        <v>610</v>
      </c>
      <c r="E206" s="17">
        <f>TL!C226</f>
        <v>1538</v>
      </c>
      <c r="F206" s="17">
        <f t="shared" si="21"/>
        <v>2.7393112880001768E-7</v>
      </c>
      <c r="G206" s="17">
        <f t="shared" si="22"/>
        <v>9.5579545622955442E-10</v>
      </c>
      <c r="H206" s="17">
        <f t="shared" si="23"/>
        <v>1.2182157641550358E-10</v>
      </c>
      <c r="I206" s="17">
        <f t="shared" si="24"/>
        <v>5.1559511134948754E-13</v>
      </c>
      <c r="J206" s="17">
        <f t="shared" si="25"/>
        <v>9.2337020970855871E-18</v>
      </c>
      <c r="K206" s="17">
        <f t="shared" si="26"/>
        <v>8.0568719105788129E-14</v>
      </c>
      <c r="L206" s="17">
        <f t="shared" si="27"/>
        <v>1.9917162125884015E-18</v>
      </c>
      <c r="M206" s="17">
        <f t="shared" si="28"/>
        <v>2.8525495231797059E-19</v>
      </c>
      <c r="N206" s="17">
        <f t="shared" si="29"/>
        <v>0.2305943907121826</v>
      </c>
      <c r="O206" s="17">
        <f t="shared" si="30"/>
        <v>3.9485607909797756E-13</v>
      </c>
    </row>
    <row r="207" spans="4:15" x14ac:dyDescent="0.3">
      <c r="D207" s="17">
        <f>TL!D227</f>
        <v>611</v>
      </c>
      <c r="E207" s="17">
        <f>TL!C227</f>
        <v>1362</v>
      </c>
      <c r="F207" s="17">
        <f t="shared" si="21"/>
        <v>2.8321862126679933E-7</v>
      </c>
      <c r="G207" s="17">
        <f t="shared" si="22"/>
        <v>9.9706816405542524E-10</v>
      </c>
      <c r="H207" s="17">
        <f t="shared" si="23"/>
        <v>1.2749758535852931E-10</v>
      </c>
      <c r="I207" s="17">
        <f t="shared" si="24"/>
        <v>5.4432675830147487E-13</v>
      </c>
      <c r="J207" s="17">
        <f t="shared" si="25"/>
        <v>9.9200164465951321E-18</v>
      </c>
      <c r="K207" s="17">
        <f t="shared" si="26"/>
        <v>8.5310459068683409E-14</v>
      </c>
      <c r="L207" s="17">
        <f t="shared" si="27"/>
        <v>2.1450219780022826E-18</v>
      </c>
      <c r="M207" s="17">
        <f t="shared" si="28"/>
        <v>3.0817062970081801E-19</v>
      </c>
      <c r="N207" s="17">
        <f t="shared" si="29"/>
        <v>0.23331571557758801</v>
      </c>
      <c r="O207" s="17">
        <f t="shared" si="30"/>
        <v>4.1703673642729148E-13</v>
      </c>
    </row>
    <row r="208" spans="4:15" x14ac:dyDescent="0.3">
      <c r="D208" s="17">
        <f>TL!D228</f>
        <v>613</v>
      </c>
      <c r="E208" s="17">
        <f>TL!C228</f>
        <v>1228</v>
      </c>
      <c r="F208" s="17">
        <f t="shared" ref="F208:F271" si="31">$C$8*D208^2/$F$9*EXP(-$F$9/($C$8*D208))*(1-2*$C$8*D208/$F$9)</f>
        <v>3.0265437903567817E-7</v>
      </c>
      <c r="G208" s="17">
        <f t="shared" ref="G208:G271" si="32">$C$8*D208^2/$G$9*EXP(-$G$9/($C$8*D208))*(1-2*$C$8*D208/$G$9)</f>
        <v>1.0846040177126314E-9</v>
      </c>
      <c r="H208" s="17">
        <f t="shared" ref="H208:H271" si="33">$C$8*D208^2/$H$9*EXP(-$H$9/($C$8*D208))*(1-2*$C$8*D208/$H$9)</f>
        <v>1.3959511218404025E-10</v>
      </c>
      <c r="I208" s="17">
        <f t="shared" ref="I208:I271" si="34">$C$8*D208^2/$I$9*EXP(-$I$9/($C$8*D208))*(1-2*$C$8*D208/$I$9)</f>
        <v>6.0636959396525097E-13</v>
      </c>
      <c r="J208" s="17">
        <f t="shared" ref="J208:J271" si="35">$C$8*D208^2/$J$9*EXP(-$J$9/($C$8*D208))*(1-2*$C$8*D208/$J$9)</f>
        <v>1.1441613978311322E-17</v>
      </c>
      <c r="K208" s="17">
        <f t="shared" ref="K208:K271" si="36">$C$8*D208^2/$K$9*EXP(-$K$9/($C$8*D208))*(1-2*$C$8*D208/$K$9)</f>
        <v>9.5595470826254413E-14</v>
      </c>
      <c r="L208" s="17">
        <f t="shared" ref="L208:L271" si="37">$C$8*D208^2/$L$9*EXP(-$L$9/($C$8*D208))*(1-2*$C$8*D208/$L$9)</f>
        <v>2.4861751249853274E-18</v>
      </c>
      <c r="M208" s="17">
        <f t="shared" ref="M208:M271" si="38">$C$8*D208^2/$M$9*EXP(-$M$9/($C$8*D208))*(1-2*$C$8*D208/$M$9)</f>
        <v>3.5940615582967356E-19</v>
      </c>
      <c r="N208" s="17">
        <f t="shared" ref="N208:N271" si="39">$C$8*D208^2/$N$9*EXP(-$N$9/($C$8*D208))*(1-2*$C$8*D208/$N$9)</f>
        <v>0.23882885688030397</v>
      </c>
      <c r="O208" s="17">
        <f t="shared" ref="O208:O271" si="40">$C$8*D208^2/$O$9*EXP(-$O$9/($C$8*D208))*(1-2*$C$8*D208/$O$9)</f>
        <v>4.6496410351089875E-13</v>
      </c>
    </row>
    <row r="209" spans="4:15" x14ac:dyDescent="0.3">
      <c r="D209" s="17">
        <f>TL!D229</f>
        <v>614</v>
      </c>
      <c r="E209" s="17">
        <f>TL!C229</f>
        <v>1031</v>
      </c>
      <c r="F209" s="17">
        <f t="shared" si="31"/>
        <v>3.1281828937488133E-7</v>
      </c>
      <c r="G209" s="17">
        <f t="shared" si="32"/>
        <v>1.1309886256481033E-9</v>
      </c>
      <c r="H209" s="17">
        <f t="shared" si="33"/>
        <v>1.4603646837440466E-10</v>
      </c>
      <c r="I209" s="17">
        <f t="shared" si="34"/>
        <v>6.3983055566609574E-13</v>
      </c>
      <c r="J209" s="17">
        <f t="shared" si="35"/>
        <v>1.228362701357151E-17</v>
      </c>
      <c r="K209" s="17">
        <f t="shared" si="36"/>
        <v>1.0116663329205704E-13</v>
      </c>
      <c r="L209" s="17">
        <f t="shared" si="37"/>
        <v>2.6756444195412117E-18</v>
      </c>
      <c r="M209" s="17">
        <f t="shared" si="38"/>
        <v>3.8799199450249617E-19</v>
      </c>
      <c r="N209" s="17">
        <f t="shared" si="39"/>
        <v>0.24162089925476493</v>
      </c>
      <c r="O209" s="17">
        <f t="shared" si="40"/>
        <v>4.9082851012765447E-13</v>
      </c>
    </row>
    <row r="210" spans="4:15" x14ac:dyDescent="0.3">
      <c r="D210" s="17">
        <f>TL!D230</f>
        <v>616</v>
      </c>
      <c r="E210" s="17">
        <f>TL!C230</f>
        <v>955</v>
      </c>
      <c r="F210" s="17">
        <f t="shared" si="31"/>
        <v>3.340786740176376E-7</v>
      </c>
      <c r="G210" s="17">
        <f t="shared" si="32"/>
        <v>1.2293098773523798E-9</v>
      </c>
      <c r="H210" s="17">
        <f t="shared" si="33"/>
        <v>1.5975667003470297E-10</v>
      </c>
      <c r="I210" s="17">
        <f t="shared" si="34"/>
        <v>7.1203161174322624E-13</v>
      </c>
      <c r="J210" s="17">
        <f t="shared" si="35"/>
        <v>1.4148533442596191E-17</v>
      </c>
      <c r="K210" s="17">
        <f t="shared" si="36"/>
        <v>1.1324109825429597E-13</v>
      </c>
      <c r="L210" s="17">
        <f t="shared" si="37"/>
        <v>3.0968318015768564E-18</v>
      </c>
      <c r="M210" s="17">
        <f t="shared" si="38"/>
        <v>4.5183522960771035E-19</v>
      </c>
      <c r="N210" s="17">
        <f t="shared" si="39"/>
        <v>0.24727649114976871</v>
      </c>
      <c r="O210" s="17">
        <f t="shared" si="40"/>
        <v>5.4667333889349332E-13</v>
      </c>
    </row>
    <row r="211" spans="4:15" x14ac:dyDescent="0.3">
      <c r="D211" s="17">
        <f>TL!D231</f>
        <v>617</v>
      </c>
      <c r="E211" s="17">
        <f>TL!C231</f>
        <v>802</v>
      </c>
      <c r="F211" s="17">
        <f t="shared" si="31"/>
        <v>3.4519191941839543E-7</v>
      </c>
      <c r="G211" s="17">
        <f t="shared" si="32"/>
        <v>1.2813802418793025E-9</v>
      </c>
      <c r="H211" s="17">
        <f t="shared" si="33"/>
        <v>1.6705756934562796E-10</v>
      </c>
      <c r="I211" s="17">
        <f t="shared" si="34"/>
        <v>7.509425650890638E-13</v>
      </c>
      <c r="J211" s="17">
        <f t="shared" si="35"/>
        <v>1.5179513264839483E-17</v>
      </c>
      <c r="K211" s="17">
        <f t="shared" si="36"/>
        <v>1.1977649917728497E-13</v>
      </c>
      <c r="L211" s="17">
        <f t="shared" si="37"/>
        <v>3.330513029570981E-18</v>
      </c>
      <c r="M211" s="17">
        <f t="shared" si="38"/>
        <v>4.8741757211804792E-19</v>
      </c>
      <c r="N211" s="17">
        <f t="shared" si="39"/>
        <v>0.25014026567375292</v>
      </c>
      <c r="O211" s="17">
        <f t="shared" si="40"/>
        <v>5.7678819781195428E-13</v>
      </c>
    </row>
    <row r="212" spans="4:15" x14ac:dyDescent="0.3">
      <c r="D212" s="17">
        <f>TL!D232</f>
        <v>619</v>
      </c>
      <c r="E212" s="17">
        <f>TL!C232</f>
        <v>683</v>
      </c>
      <c r="F212" s="17">
        <f t="shared" si="31"/>
        <v>3.6842791549759954E-7</v>
      </c>
      <c r="G212" s="17">
        <f t="shared" si="32"/>
        <v>1.3916911015710078E-9</v>
      </c>
      <c r="H212" s="17">
        <f t="shared" si="33"/>
        <v>1.8259907688111649E-10</v>
      </c>
      <c r="I212" s="17">
        <f t="shared" si="34"/>
        <v>8.3484137138531664E-13</v>
      </c>
      <c r="J212" s="17">
        <f t="shared" si="35"/>
        <v>1.7460676350391951E-17</v>
      </c>
      <c r="K212" s="17">
        <f t="shared" si="36"/>
        <v>1.3392969011350821E-13</v>
      </c>
      <c r="L212" s="17">
        <f t="shared" si="37"/>
        <v>3.8494476167482497E-18</v>
      </c>
      <c r="M212" s="17">
        <f t="shared" si="38"/>
        <v>5.6680118948463098E-19</v>
      </c>
      <c r="N212" s="17">
        <f t="shared" si="39"/>
        <v>0.25594033313697367</v>
      </c>
      <c r="O212" s="17">
        <f t="shared" si="40"/>
        <v>6.4176186335820367E-13</v>
      </c>
    </row>
    <row r="213" spans="4:15" x14ac:dyDescent="0.3">
      <c r="D213" s="17">
        <f>TL!D233</f>
        <v>620</v>
      </c>
      <c r="E213" s="17">
        <f>TL!C233</f>
        <v>661</v>
      </c>
      <c r="F213" s="17">
        <f t="shared" si="31"/>
        <v>3.8056863036993913E-7</v>
      </c>
      <c r="G213" s="17">
        <f t="shared" si="32"/>
        <v>1.450078661089216E-9</v>
      </c>
      <c r="H213" s="17">
        <f t="shared" si="33"/>
        <v>1.9086417425870479E-10</v>
      </c>
      <c r="I213" s="17">
        <f t="shared" si="34"/>
        <v>8.8002386950903175E-13</v>
      </c>
      <c r="J213" s="17">
        <f t="shared" si="35"/>
        <v>1.8720557817195202E-17</v>
      </c>
      <c r="K213" s="17">
        <f t="shared" si="36"/>
        <v>1.4158436711176616E-13</v>
      </c>
      <c r="L213" s="17">
        <f t="shared" si="37"/>
        <v>4.1370725017735331E-18</v>
      </c>
      <c r="M213" s="17">
        <f t="shared" si="38"/>
        <v>6.1099862475722369E-19</v>
      </c>
      <c r="N213" s="17">
        <f t="shared" si="39"/>
        <v>0.25887685006338312</v>
      </c>
      <c r="O213" s="17">
        <f t="shared" si="40"/>
        <v>6.7677401424266401E-13</v>
      </c>
    </row>
    <row r="214" spans="4:15" x14ac:dyDescent="0.3">
      <c r="D214" s="17">
        <f>TL!D234</f>
        <v>622</v>
      </c>
      <c r="E214" s="17">
        <f>TL!C234</f>
        <v>560</v>
      </c>
      <c r="F214" s="17">
        <f t="shared" si="31"/>
        <v>4.0594196236395663E-7</v>
      </c>
      <c r="G214" s="17">
        <f t="shared" si="32"/>
        <v>1.5737034855758695E-9</v>
      </c>
      <c r="H214" s="17">
        <f t="shared" si="33"/>
        <v>2.0844754913462045E-10</v>
      </c>
      <c r="I214" s="17">
        <f t="shared" si="34"/>
        <v>9.7737423848121667E-13</v>
      </c>
      <c r="J214" s="17">
        <f t="shared" si="35"/>
        <v>2.1505460945064197E-17</v>
      </c>
      <c r="K214" s="17">
        <f t="shared" si="36"/>
        <v>1.5814870213576504E-13</v>
      </c>
      <c r="L214" s="17">
        <f t="shared" si="37"/>
        <v>4.775150918429465E-18</v>
      </c>
      <c r="M214" s="17">
        <f t="shared" si="38"/>
        <v>7.0949781027323515E-19</v>
      </c>
      <c r="N214" s="17">
        <f t="shared" si="39"/>
        <v>0.26482340892461265</v>
      </c>
      <c r="O214" s="17">
        <f t="shared" si="40"/>
        <v>7.5225822712380738E-13</v>
      </c>
    </row>
    <row r="215" spans="4:15" x14ac:dyDescent="0.3">
      <c r="D215" s="17">
        <f>TL!D235</f>
        <v>0</v>
      </c>
      <c r="E215" s="17">
        <f>TL!C235</f>
        <v>0</v>
      </c>
      <c r="F215" s="17" t="e">
        <f t="shared" si="31"/>
        <v>#DIV/0!</v>
      </c>
      <c r="G215" s="17" t="e">
        <f t="shared" si="32"/>
        <v>#DIV/0!</v>
      </c>
      <c r="H215" s="17" t="e">
        <f t="shared" si="33"/>
        <v>#DIV/0!</v>
      </c>
      <c r="I215" s="17" t="e">
        <f t="shared" si="34"/>
        <v>#DIV/0!</v>
      </c>
      <c r="J215" s="17" t="e">
        <f t="shared" si="35"/>
        <v>#DIV/0!</v>
      </c>
      <c r="K215" s="17" t="e">
        <f t="shared" si="36"/>
        <v>#DIV/0!</v>
      </c>
      <c r="L215" s="17" t="e">
        <f t="shared" si="37"/>
        <v>#DIV/0!</v>
      </c>
      <c r="M215" s="17" t="e">
        <f t="shared" si="38"/>
        <v>#DIV/0!</v>
      </c>
      <c r="N215" s="17" t="e">
        <f t="shared" si="39"/>
        <v>#DIV/0!</v>
      </c>
      <c r="O215" s="17" t="e">
        <f t="shared" si="40"/>
        <v>#DIV/0!</v>
      </c>
    </row>
    <row r="216" spans="4:15" x14ac:dyDescent="0.3">
      <c r="D216" s="17">
        <f>TL!D236</f>
        <v>0</v>
      </c>
      <c r="E216" s="17">
        <f>TL!C236</f>
        <v>0</v>
      </c>
      <c r="F216" s="17" t="e">
        <f t="shared" si="31"/>
        <v>#DIV/0!</v>
      </c>
      <c r="G216" s="17" t="e">
        <f t="shared" si="32"/>
        <v>#DIV/0!</v>
      </c>
      <c r="H216" s="17" t="e">
        <f t="shared" si="33"/>
        <v>#DIV/0!</v>
      </c>
      <c r="I216" s="17" t="e">
        <f t="shared" si="34"/>
        <v>#DIV/0!</v>
      </c>
      <c r="J216" s="17" t="e">
        <f t="shared" si="35"/>
        <v>#DIV/0!</v>
      </c>
      <c r="K216" s="17" t="e">
        <f t="shared" si="36"/>
        <v>#DIV/0!</v>
      </c>
      <c r="L216" s="17" t="e">
        <f t="shared" si="37"/>
        <v>#DIV/0!</v>
      </c>
      <c r="M216" s="17" t="e">
        <f t="shared" si="38"/>
        <v>#DIV/0!</v>
      </c>
      <c r="N216" s="17" t="e">
        <f t="shared" si="39"/>
        <v>#DIV/0!</v>
      </c>
      <c r="O216" s="17" t="e">
        <f t="shared" si="40"/>
        <v>#DIV/0!</v>
      </c>
    </row>
    <row r="217" spans="4:15" x14ac:dyDescent="0.3">
      <c r="D217" s="17">
        <f>TL!D237</f>
        <v>0</v>
      </c>
      <c r="E217" s="17">
        <f>TL!C237</f>
        <v>0</v>
      </c>
      <c r="F217" s="17" t="e">
        <f t="shared" si="31"/>
        <v>#DIV/0!</v>
      </c>
      <c r="G217" s="17" t="e">
        <f t="shared" si="32"/>
        <v>#DIV/0!</v>
      </c>
      <c r="H217" s="17" t="e">
        <f t="shared" si="33"/>
        <v>#DIV/0!</v>
      </c>
      <c r="I217" s="17" t="e">
        <f t="shared" si="34"/>
        <v>#DIV/0!</v>
      </c>
      <c r="J217" s="17" t="e">
        <f t="shared" si="35"/>
        <v>#DIV/0!</v>
      </c>
      <c r="K217" s="17" t="e">
        <f t="shared" si="36"/>
        <v>#DIV/0!</v>
      </c>
      <c r="L217" s="17" t="e">
        <f t="shared" si="37"/>
        <v>#DIV/0!</v>
      </c>
      <c r="M217" s="17" t="e">
        <f t="shared" si="38"/>
        <v>#DIV/0!</v>
      </c>
      <c r="N217" s="17" t="e">
        <f t="shared" si="39"/>
        <v>#DIV/0!</v>
      </c>
      <c r="O217" s="17" t="e">
        <f t="shared" si="40"/>
        <v>#DIV/0!</v>
      </c>
    </row>
    <row r="218" spans="4:15" x14ac:dyDescent="0.3">
      <c r="D218" s="17">
        <f>TL!D238</f>
        <v>0</v>
      </c>
      <c r="E218" s="17">
        <f>TL!C238</f>
        <v>0</v>
      </c>
      <c r="F218" s="17" t="e">
        <f t="shared" si="31"/>
        <v>#DIV/0!</v>
      </c>
      <c r="G218" s="17" t="e">
        <f t="shared" si="32"/>
        <v>#DIV/0!</v>
      </c>
      <c r="H218" s="17" t="e">
        <f t="shared" si="33"/>
        <v>#DIV/0!</v>
      </c>
      <c r="I218" s="17" t="e">
        <f t="shared" si="34"/>
        <v>#DIV/0!</v>
      </c>
      <c r="J218" s="17" t="e">
        <f t="shared" si="35"/>
        <v>#DIV/0!</v>
      </c>
      <c r="K218" s="17" t="e">
        <f t="shared" si="36"/>
        <v>#DIV/0!</v>
      </c>
      <c r="L218" s="17" t="e">
        <f t="shared" si="37"/>
        <v>#DIV/0!</v>
      </c>
      <c r="M218" s="17" t="e">
        <f t="shared" si="38"/>
        <v>#DIV/0!</v>
      </c>
      <c r="N218" s="17" t="e">
        <f t="shared" si="39"/>
        <v>#DIV/0!</v>
      </c>
      <c r="O218" s="17" t="e">
        <f t="shared" si="40"/>
        <v>#DIV/0!</v>
      </c>
    </row>
    <row r="219" spans="4:15" x14ac:dyDescent="0.3">
      <c r="D219" s="17">
        <f>TL!D239</f>
        <v>0</v>
      </c>
      <c r="E219" s="17">
        <f>TL!C239</f>
        <v>0</v>
      </c>
      <c r="F219" s="17" t="e">
        <f t="shared" si="31"/>
        <v>#DIV/0!</v>
      </c>
      <c r="G219" s="17" t="e">
        <f t="shared" si="32"/>
        <v>#DIV/0!</v>
      </c>
      <c r="H219" s="17" t="e">
        <f t="shared" si="33"/>
        <v>#DIV/0!</v>
      </c>
      <c r="I219" s="17" t="e">
        <f t="shared" si="34"/>
        <v>#DIV/0!</v>
      </c>
      <c r="J219" s="17" t="e">
        <f t="shared" si="35"/>
        <v>#DIV/0!</v>
      </c>
      <c r="K219" s="17" t="e">
        <f t="shared" si="36"/>
        <v>#DIV/0!</v>
      </c>
      <c r="L219" s="17" t="e">
        <f t="shared" si="37"/>
        <v>#DIV/0!</v>
      </c>
      <c r="M219" s="17" t="e">
        <f t="shared" si="38"/>
        <v>#DIV/0!</v>
      </c>
      <c r="N219" s="17" t="e">
        <f t="shared" si="39"/>
        <v>#DIV/0!</v>
      </c>
      <c r="O219" s="17" t="e">
        <f t="shared" si="40"/>
        <v>#DIV/0!</v>
      </c>
    </row>
    <row r="220" spans="4:15" x14ac:dyDescent="0.3">
      <c r="D220" s="17">
        <f>TL!D240</f>
        <v>0</v>
      </c>
      <c r="E220" s="17">
        <f>TL!C240</f>
        <v>0</v>
      </c>
      <c r="F220" s="17" t="e">
        <f t="shared" si="31"/>
        <v>#DIV/0!</v>
      </c>
      <c r="G220" s="17" t="e">
        <f t="shared" si="32"/>
        <v>#DIV/0!</v>
      </c>
      <c r="H220" s="17" t="e">
        <f t="shared" si="33"/>
        <v>#DIV/0!</v>
      </c>
      <c r="I220" s="17" t="e">
        <f t="shared" si="34"/>
        <v>#DIV/0!</v>
      </c>
      <c r="J220" s="17" t="e">
        <f t="shared" si="35"/>
        <v>#DIV/0!</v>
      </c>
      <c r="K220" s="17" t="e">
        <f t="shared" si="36"/>
        <v>#DIV/0!</v>
      </c>
      <c r="L220" s="17" t="e">
        <f t="shared" si="37"/>
        <v>#DIV/0!</v>
      </c>
      <c r="M220" s="17" t="e">
        <f t="shared" si="38"/>
        <v>#DIV/0!</v>
      </c>
      <c r="N220" s="17" t="e">
        <f t="shared" si="39"/>
        <v>#DIV/0!</v>
      </c>
      <c r="O220" s="17" t="e">
        <f t="shared" si="40"/>
        <v>#DIV/0!</v>
      </c>
    </row>
    <row r="221" spans="4:15" x14ac:dyDescent="0.3">
      <c r="D221" s="17">
        <f>TL!D241</f>
        <v>0</v>
      </c>
      <c r="E221" s="17">
        <f>TL!C241</f>
        <v>0</v>
      </c>
      <c r="F221" s="17" t="e">
        <f t="shared" si="31"/>
        <v>#DIV/0!</v>
      </c>
      <c r="G221" s="17" t="e">
        <f t="shared" si="32"/>
        <v>#DIV/0!</v>
      </c>
      <c r="H221" s="17" t="e">
        <f t="shared" si="33"/>
        <v>#DIV/0!</v>
      </c>
      <c r="I221" s="17" t="e">
        <f t="shared" si="34"/>
        <v>#DIV/0!</v>
      </c>
      <c r="J221" s="17" t="e">
        <f t="shared" si="35"/>
        <v>#DIV/0!</v>
      </c>
      <c r="K221" s="17" t="e">
        <f t="shared" si="36"/>
        <v>#DIV/0!</v>
      </c>
      <c r="L221" s="17" t="e">
        <f t="shared" si="37"/>
        <v>#DIV/0!</v>
      </c>
      <c r="M221" s="17" t="e">
        <f t="shared" si="38"/>
        <v>#DIV/0!</v>
      </c>
      <c r="N221" s="17" t="e">
        <f t="shared" si="39"/>
        <v>#DIV/0!</v>
      </c>
      <c r="O221" s="17" t="e">
        <f t="shared" si="40"/>
        <v>#DIV/0!</v>
      </c>
    </row>
    <row r="222" spans="4:15" x14ac:dyDescent="0.3">
      <c r="D222" s="17">
        <f>TL!D242</f>
        <v>0</v>
      </c>
      <c r="E222" s="17">
        <f>TL!C242</f>
        <v>0</v>
      </c>
      <c r="F222" s="17" t="e">
        <f t="shared" si="31"/>
        <v>#DIV/0!</v>
      </c>
      <c r="G222" s="17" t="e">
        <f t="shared" si="32"/>
        <v>#DIV/0!</v>
      </c>
      <c r="H222" s="17" t="e">
        <f t="shared" si="33"/>
        <v>#DIV/0!</v>
      </c>
      <c r="I222" s="17" t="e">
        <f t="shared" si="34"/>
        <v>#DIV/0!</v>
      </c>
      <c r="J222" s="17" t="e">
        <f t="shared" si="35"/>
        <v>#DIV/0!</v>
      </c>
      <c r="K222" s="17" t="e">
        <f t="shared" si="36"/>
        <v>#DIV/0!</v>
      </c>
      <c r="L222" s="17" t="e">
        <f t="shared" si="37"/>
        <v>#DIV/0!</v>
      </c>
      <c r="M222" s="17" t="e">
        <f t="shared" si="38"/>
        <v>#DIV/0!</v>
      </c>
      <c r="N222" s="17" t="e">
        <f t="shared" si="39"/>
        <v>#DIV/0!</v>
      </c>
      <c r="O222" s="17" t="e">
        <f t="shared" si="40"/>
        <v>#DIV/0!</v>
      </c>
    </row>
    <row r="223" spans="4:15" x14ac:dyDescent="0.3">
      <c r="D223" s="17">
        <f>TL!D243</f>
        <v>0</v>
      </c>
      <c r="E223" s="17">
        <f>TL!C243</f>
        <v>0</v>
      </c>
      <c r="F223" s="17" t="e">
        <f t="shared" si="31"/>
        <v>#DIV/0!</v>
      </c>
      <c r="G223" s="17" t="e">
        <f t="shared" si="32"/>
        <v>#DIV/0!</v>
      </c>
      <c r="H223" s="17" t="e">
        <f t="shared" si="33"/>
        <v>#DIV/0!</v>
      </c>
      <c r="I223" s="17" t="e">
        <f t="shared" si="34"/>
        <v>#DIV/0!</v>
      </c>
      <c r="J223" s="17" t="e">
        <f t="shared" si="35"/>
        <v>#DIV/0!</v>
      </c>
      <c r="K223" s="17" t="e">
        <f t="shared" si="36"/>
        <v>#DIV/0!</v>
      </c>
      <c r="L223" s="17" t="e">
        <f t="shared" si="37"/>
        <v>#DIV/0!</v>
      </c>
      <c r="M223" s="17" t="e">
        <f t="shared" si="38"/>
        <v>#DIV/0!</v>
      </c>
      <c r="N223" s="17" t="e">
        <f t="shared" si="39"/>
        <v>#DIV/0!</v>
      </c>
      <c r="O223" s="17" t="e">
        <f t="shared" si="40"/>
        <v>#DIV/0!</v>
      </c>
    </row>
    <row r="224" spans="4:15" x14ac:dyDescent="0.3">
      <c r="D224" s="17">
        <f>TL!D244</f>
        <v>0</v>
      </c>
      <c r="E224" s="17">
        <f>TL!C244</f>
        <v>0</v>
      </c>
      <c r="F224" s="17" t="e">
        <f t="shared" si="31"/>
        <v>#DIV/0!</v>
      </c>
      <c r="G224" s="17" t="e">
        <f t="shared" si="32"/>
        <v>#DIV/0!</v>
      </c>
      <c r="H224" s="17" t="e">
        <f t="shared" si="33"/>
        <v>#DIV/0!</v>
      </c>
      <c r="I224" s="17" t="e">
        <f t="shared" si="34"/>
        <v>#DIV/0!</v>
      </c>
      <c r="J224" s="17" t="e">
        <f t="shared" si="35"/>
        <v>#DIV/0!</v>
      </c>
      <c r="K224" s="17" t="e">
        <f t="shared" si="36"/>
        <v>#DIV/0!</v>
      </c>
      <c r="L224" s="17" t="e">
        <f t="shared" si="37"/>
        <v>#DIV/0!</v>
      </c>
      <c r="M224" s="17" t="e">
        <f t="shared" si="38"/>
        <v>#DIV/0!</v>
      </c>
      <c r="N224" s="17" t="e">
        <f t="shared" si="39"/>
        <v>#DIV/0!</v>
      </c>
      <c r="O224" s="17" t="e">
        <f t="shared" si="40"/>
        <v>#DIV/0!</v>
      </c>
    </row>
    <row r="225" spans="4:15" x14ac:dyDescent="0.3">
      <c r="D225" s="17">
        <f>TL!D245</f>
        <v>0</v>
      </c>
      <c r="E225" s="17">
        <f>TL!C245</f>
        <v>0</v>
      </c>
      <c r="F225" s="17" t="e">
        <f t="shared" si="31"/>
        <v>#DIV/0!</v>
      </c>
      <c r="G225" s="17" t="e">
        <f t="shared" si="32"/>
        <v>#DIV/0!</v>
      </c>
      <c r="H225" s="17" t="e">
        <f t="shared" si="33"/>
        <v>#DIV/0!</v>
      </c>
      <c r="I225" s="17" t="e">
        <f t="shared" si="34"/>
        <v>#DIV/0!</v>
      </c>
      <c r="J225" s="17" t="e">
        <f t="shared" si="35"/>
        <v>#DIV/0!</v>
      </c>
      <c r="K225" s="17" t="e">
        <f t="shared" si="36"/>
        <v>#DIV/0!</v>
      </c>
      <c r="L225" s="17" t="e">
        <f t="shared" si="37"/>
        <v>#DIV/0!</v>
      </c>
      <c r="M225" s="17" t="e">
        <f t="shared" si="38"/>
        <v>#DIV/0!</v>
      </c>
      <c r="N225" s="17" t="e">
        <f t="shared" si="39"/>
        <v>#DIV/0!</v>
      </c>
      <c r="O225" s="17" t="e">
        <f t="shared" si="40"/>
        <v>#DIV/0!</v>
      </c>
    </row>
    <row r="226" spans="4:15" x14ac:dyDescent="0.3">
      <c r="D226" s="17">
        <f>TL!D246</f>
        <v>0</v>
      </c>
      <c r="E226" s="17">
        <f>TL!C246</f>
        <v>0</v>
      </c>
      <c r="F226" s="17" t="e">
        <f t="shared" si="31"/>
        <v>#DIV/0!</v>
      </c>
      <c r="G226" s="17" t="e">
        <f t="shared" si="32"/>
        <v>#DIV/0!</v>
      </c>
      <c r="H226" s="17" t="e">
        <f t="shared" si="33"/>
        <v>#DIV/0!</v>
      </c>
      <c r="I226" s="17" t="e">
        <f t="shared" si="34"/>
        <v>#DIV/0!</v>
      </c>
      <c r="J226" s="17" t="e">
        <f t="shared" si="35"/>
        <v>#DIV/0!</v>
      </c>
      <c r="K226" s="17" t="e">
        <f t="shared" si="36"/>
        <v>#DIV/0!</v>
      </c>
      <c r="L226" s="17" t="e">
        <f t="shared" si="37"/>
        <v>#DIV/0!</v>
      </c>
      <c r="M226" s="17" t="e">
        <f t="shared" si="38"/>
        <v>#DIV/0!</v>
      </c>
      <c r="N226" s="17" t="e">
        <f t="shared" si="39"/>
        <v>#DIV/0!</v>
      </c>
      <c r="O226" s="17" t="e">
        <f t="shared" si="40"/>
        <v>#DIV/0!</v>
      </c>
    </row>
    <row r="227" spans="4:15" x14ac:dyDescent="0.3">
      <c r="D227" s="17">
        <f>TL!D247</f>
        <v>0</v>
      </c>
      <c r="E227" s="17">
        <f>TL!C247</f>
        <v>0</v>
      </c>
      <c r="F227" s="17" t="e">
        <f t="shared" si="31"/>
        <v>#DIV/0!</v>
      </c>
      <c r="G227" s="17" t="e">
        <f t="shared" si="32"/>
        <v>#DIV/0!</v>
      </c>
      <c r="H227" s="17" t="e">
        <f t="shared" si="33"/>
        <v>#DIV/0!</v>
      </c>
      <c r="I227" s="17" t="e">
        <f t="shared" si="34"/>
        <v>#DIV/0!</v>
      </c>
      <c r="J227" s="17" t="e">
        <f t="shared" si="35"/>
        <v>#DIV/0!</v>
      </c>
      <c r="K227" s="17" t="e">
        <f t="shared" si="36"/>
        <v>#DIV/0!</v>
      </c>
      <c r="L227" s="17" t="e">
        <f t="shared" si="37"/>
        <v>#DIV/0!</v>
      </c>
      <c r="M227" s="17" t="e">
        <f t="shared" si="38"/>
        <v>#DIV/0!</v>
      </c>
      <c r="N227" s="17" t="e">
        <f t="shared" si="39"/>
        <v>#DIV/0!</v>
      </c>
      <c r="O227" s="17" t="e">
        <f t="shared" si="40"/>
        <v>#DIV/0!</v>
      </c>
    </row>
    <row r="228" spans="4:15" x14ac:dyDescent="0.3">
      <c r="D228" s="17">
        <f>TL!D248</f>
        <v>0</v>
      </c>
      <c r="E228" s="17">
        <f>TL!C248</f>
        <v>0</v>
      </c>
      <c r="F228" s="17" t="e">
        <f t="shared" si="31"/>
        <v>#DIV/0!</v>
      </c>
      <c r="G228" s="17" t="e">
        <f t="shared" si="32"/>
        <v>#DIV/0!</v>
      </c>
      <c r="H228" s="17" t="e">
        <f t="shared" si="33"/>
        <v>#DIV/0!</v>
      </c>
      <c r="I228" s="17" t="e">
        <f t="shared" si="34"/>
        <v>#DIV/0!</v>
      </c>
      <c r="J228" s="17" t="e">
        <f t="shared" si="35"/>
        <v>#DIV/0!</v>
      </c>
      <c r="K228" s="17" t="e">
        <f t="shared" si="36"/>
        <v>#DIV/0!</v>
      </c>
      <c r="L228" s="17" t="e">
        <f t="shared" si="37"/>
        <v>#DIV/0!</v>
      </c>
      <c r="M228" s="17" t="e">
        <f t="shared" si="38"/>
        <v>#DIV/0!</v>
      </c>
      <c r="N228" s="17" t="e">
        <f t="shared" si="39"/>
        <v>#DIV/0!</v>
      </c>
      <c r="O228" s="17" t="e">
        <f t="shared" si="40"/>
        <v>#DIV/0!</v>
      </c>
    </row>
    <row r="229" spans="4:15" x14ac:dyDescent="0.3">
      <c r="D229" s="17">
        <f>TL!D249</f>
        <v>0</v>
      </c>
      <c r="E229" s="17">
        <f>TL!C249</f>
        <v>0</v>
      </c>
      <c r="F229" s="17" t="e">
        <f t="shared" si="31"/>
        <v>#DIV/0!</v>
      </c>
      <c r="G229" s="17" t="e">
        <f t="shared" si="32"/>
        <v>#DIV/0!</v>
      </c>
      <c r="H229" s="17" t="e">
        <f t="shared" si="33"/>
        <v>#DIV/0!</v>
      </c>
      <c r="I229" s="17" t="e">
        <f t="shared" si="34"/>
        <v>#DIV/0!</v>
      </c>
      <c r="J229" s="17" t="e">
        <f t="shared" si="35"/>
        <v>#DIV/0!</v>
      </c>
      <c r="K229" s="17" t="e">
        <f t="shared" si="36"/>
        <v>#DIV/0!</v>
      </c>
      <c r="L229" s="17" t="e">
        <f t="shared" si="37"/>
        <v>#DIV/0!</v>
      </c>
      <c r="M229" s="17" t="e">
        <f t="shared" si="38"/>
        <v>#DIV/0!</v>
      </c>
      <c r="N229" s="17" t="e">
        <f t="shared" si="39"/>
        <v>#DIV/0!</v>
      </c>
      <c r="O229" s="17" t="e">
        <f t="shared" si="40"/>
        <v>#DIV/0!</v>
      </c>
    </row>
    <row r="230" spans="4:15" x14ac:dyDescent="0.3">
      <c r="D230" s="17">
        <f>TL!D250</f>
        <v>0</v>
      </c>
      <c r="E230" s="17">
        <f>TL!C250</f>
        <v>0</v>
      </c>
      <c r="F230" s="17" t="e">
        <f t="shared" si="31"/>
        <v>#DIV/0!</v>
      </c>
      <c r="G230" s="17" t="e">
        <f t="shared" si="32"/>
        <v>#DIV/0!</v>
      </c>
      <c r="H230" s="17" t="e">
        <f t="shared" si="33"/>
        <v>#DIV/0!</v>
      </c>
      <c r="I230" s="17" t="e">
        <f t="shared" si="34"/>
        <v>#DIV/0!</v>
      </c>
      <c r="J230" s="17" t="e">
        <f t="shared" si="35"/>
        <v>#DIV/0!</v>
      </c>
      <c r="K230" s="17" t="e">
        <f t="shared" si="36"/>
        <v>#DIV/0!</v>
      </c>
      <c r="L230" s="17" t="e">
        <f t="shared" si="37"/>
        <v>#DIV/0!</v>
      </c>
      <c r="M230" s="17" t="e">
        <f t="shared" si="38"/>
        <v>#DIV/0!</v>
      </c>
      <c r="N230" s="17" t="e">
        <f t="shared" si="39"/>
        <v>#DIV/0!</v>
      </c>
      <c r="O230" s="17" t="e">
        <f t="shared" si="40"/>
        <v>#DIV/0!</v>
      </c>
    </row>
    <row r="231" spans="4:15" x14ac:dyDescent="0.3">
      <c r="D231" s="17">
        <f>TL!D251</f>
        <v>0</v>
      </c>
      <c r="E231" s="17">
        <f>TL!C251</f>
        <v>0</v>
      </c>
      <c r="F231" s="17" t="e">
        <f t="shared" si="31"/>
        <v>#DIV/0!</v>
      </c>
      <c r="G231" s="17" t="e">
        <f t="shared" si="32"/>
        <v>#DIV/0!</v>
      </c>
      <c r="H231" s="17" t="e">
        <f t="shared" si="33"/>
        <v>#DIV/0!</v>
      </c>
      <c r="I231" s="17" t="e">
        <f t="shared" si="34"/>
        <v>#DIV/0!</v>
      </c>
      <c r="J231" s="17" t="e">
        <f t="shared" si="35"/>
        <v>#DIV/0!</v>
      </c>
      <c r="K231" s="17" t="e">
        <f t="shared" si="36"/>
        <v>#DIV/0!</v>
      </c>
      <c r="L231" s="17" t="e">
        <f t="shared" si="37"/>
        <v>#DIV/0!</v>
      </c>
      <c r="M231" s="17" t="e">
        <f t="shared" si="38"/>
        <v>#DIV/0!</v>
      </c>
      <c r="N231" s="17" t="e">
        <f t="shared" si="39"/>
        <v>#DIV/0!</v>
      </c>
      <c r="O231" s="17" t="e">
        <f t="shared" si="40"/>
        <v>#DIV/0!</v>
      </c>
    </row>
    <row r="232" spans="4:15" x14ac:dyDescent="0.3">
      <c r="D232" s="17">
        <f>TL!D252</f>
        <v>0</v>
      </c>
      <c r="E232" s="17">
        <f>TL!C252</f>
        <v>0</v>
      </c>
      <c r="F232" s="17" t="e">
        <f t="shared" si="31"/>
        <v>#DIV/0!</v>
      </c>
      <c r="G232" s="17" t="e">
        <f t="shared" si="32"/>
        <v>#DIV/0!</v>
      </c>
      <c r="H232" s="17" t="e">
        <f t="shared" si="33"/>
        <v>#DIV/0!</v>
      </c>
      <c r="I232" s="17" t="e">
        <f t="shared" si="34"/>
        <v>#DIV/0!</v>
      </c>
      <c r="J232" s="17" t="e">
        <f t="shared" si="35"/>
        <v>#DIV/0!</v>
      </c>
      <c r="K232" s="17" t="e">
        <f t="shared" si="36"/>
        <v>#DIV/0!</v>
      </c>
      <c r="L232" s="17" t="e">
        <f t="shared" si="37"/>
        <v>#DIV/0!</v>
      </c>
      <c r="M232" s="17" t="e">
        <f t="shared" si="38"/>
        <v>#DIV/0!</v>
      </c>
      <c r="N232" s="17" t="e">
        <f t="shared" si="39"/>
        <v>#DIV/0!</v>
      </c>
      <c r="O232" s="17" t="e">
        <f t="shared" si="40"/>
        <v>#DIV/0!</v>
      </c>
    </row>
    <row r="233" spans="4:15" x14ac:dyDescent="0.3">
      <c r="D233" s="17">
        <f>TL!D253</f>
        <v>0</v>
      </c>
      <c r="E233" s="17">
        <f>TL!C253</f>
        <v>0</v>
      </c>
      <c r="F233" s="17" t="e">
        <f t="shared" si="31"/>
        <v>#DIV/0!</v>
      </c>
      <c r="G233" s="17" t="e">
        <f t="shared" si="32"/>
        <v>#DIV/0!</v>
      </c>
      <c r="H233" s="17" t="e">
        <f t="shared" si="33"/>
        <v>#DIV/0!</v>
      </c>
      <c r="I233" s="17" t="e">
        <f t="shared" si="34"/>
        <v>#DIV/0!</v>
      </c>
      <c r="J233" s="17" t="e">
        <f t="shared" si="35"/>
        <v>#DIV/0!</v>
      </c>
      <c r="K233" s="17" t="e">
        <f t="shared" si="36"/>
        <v>#DIV/0!</v>
      </c>
      <c r="L233" s="17" t="e">
        <f t="shared" si="37"/>
        <v>#DIV/0!</v>
      </c>
      <c r="M233" s="17" t="e">
        <f t="shared" si="38"/>
        <v>#DIV/0!</v>
      </c>
      <c r="N233" s="17" t="e">
        <f t="shared" si="39"/>
        <v>#DIV/0!</v>
      </c>
      <c r="O233" s="17" t="e">
        <f t="shared" si="40"/>
        <v>#DIV/0!</v>
      </c>
    </row>
    <row r="234" spans="4:15" x14ac:dyDescent="0.3">
      <c r="D234" s="17">
        <f>TL!D254</f>
        <v>0</v>
      </c>
      <c r="E234" s="17">
        <f>TL!C254</f>
        <v>0</v>
      </c>
      <c r="F234" s="17" t="e">
        <f t="shared" si="31"/>
        <v>#DIV/0!</v>
      </c>
      <c r="G234" s="17" t="e">
        <f t="shared" si="32"/>
        <v>#DIV/0!</v>
      </c>
      <c r="H234" s="17" t="e">
        <f t="shared" si="33"/>
        <v>#DIV/0!</v>
      </c>
      <c r="I234" s="17" t="e">
        <f t="shared" si="34"/>
        <v>#DIV/0!</v>
      </c>
      <c r="J234" s="17" t="e">
        <f t="shared" si="35"/>
        <v>#DIV/0!</v>
      </c>
      <c r="K234" s="17" t="e">
        <f t="shared" si="36"/>
        <v>#DIV/0!</v>
      </c>
      <c r="L234" s="17" t="e">
        <f t="shared" si="37"/>
        <v>#DIV/0!</v>
      </c>
      <c r="M234" s="17" t="e">
        <f t="shared" si="38"/>
        <v>#DIV/0!</v>
      </c>
      <c r="N234" s="17" t="e">
        <f t="shared" si="39"/>
        <v>#DIV/0!</v>
      </c>
      <c r="O234" s="17" t="e">
        <f t="shared" si="40"/>
        <v>#DIV/0!</v>
      </c>
    </row>
    <row r="235" spans="4:15" x14ac:dyDescent="0.3">
      <c r="D235" s="17">
        <f>TL!D255</f>
        <v>0</v>
      </c>
      <c r="E235" s="17">
        <f>TL!C255</f>
        <v>0</v>
      </c>
      <c r="F235" s="17" t="e">
        <f t="shared" si="31"/>
        <v>#DIV/0!</v>
      </c>
      <c r="G235" s="17" t="e">
        <f t="shared" si="32"/>
        <v>#DIV/0!</v>
      </c>
      <c r="H235" s="17" t="e">
        <f t="shared" si="33"/>
        <v>#DIV/0!</v>
      </c>
      <c r="I235" s="17" t="e">
        <f t="shared" si="34"/>
        <v>#DIV/0!</v>
      </c>
      <c r="J235" s="17" t="e">
        <f t="shared" si="35"/>
        <v>#DIV/0!</v>
      </c>
      <c r="K235" s="17" t="e">
        <f t="shared" si="36"/>
        <v>#DIV/0!</v>
      </c>
      <c r="L235" s="17" t="e">
        <f t="shared" si="37"/>
        <v>#DIV/0!</v>
      </c>
      <c r="M235" s="17" t="e">
        <f t="shared" si="38"/>
        <v>#DIV/0!</v>
      </c>
      <c r="N235" s="17" t="e">
        <f t="shared" si="39"/>
        <v>#DIV/0!</v>
      </c>
      <c r="O235" s="17" t="e">
        <f t="shared" si="40"/>
        <v>#DIV/0!</v>
      </c>
    </row>
    <row r="236" spans="4:15" x14ac:dyDescent="0.3">
      <c r="D236" s="17">
        <f>TL!D256</f>
        <v>0</v>
      </c>
      <c r="E236" s="17">
        <f>TL!C256</f>
        <v>0</v>
      </c>
      <c r="F236" s="17" t="e">
        <f t="shared" si="31"/>
        <v>#DIV/0!</v>
      </c>
      <c r="G236" s="17" t="e">
        <f t="shared" si="32"/>
        <v>#DIV/0!</v>
      </c>
      <c r="H236" s="17" t="e">
        <f t="shared" si="33"/>
        <v>#DIV/0!</v>
      </c>
      <c r="I236" s="17" t="e">
        <f t="shared" si="34"/>
        <v>#DIV/0!</v>
      </c>
      <c r="J236" s="17" t="e">
        <f t="shared" si="35"/>
        <v>#DIV/0!</v>
      </c>
      <c r="K236" s="17" t="e">
        <f t="shared" si="36"/>
        <v>#DIV/0!</v>
      </c>
      <c r="L236" s="17" t="e">
        <f t="shared" si="37"/>
        <v>#DIV/0!</v>
      </c>
      <c r="M236" s="17" t="e">
        <f t="shared" si="38"/>
        <v>#DIV/0!</v>
      </c>
      <c r="N236" s="17" t="e">
        <f t="shared" si="39"/>
        <v>#DIV/0!</v>
      </c>
      <c r="O236" s="17" t="e">
        <f t="shared" si="40"/>
        <v>#DIV/0!</v>
      </c>
    </row>
    <row r="237" spans="4:15" x14ac:dyDescent="0.3">
      <c r="D237" s="17">
        <f>TL!D257</f>
        <v>0</v>
      </c>
      <c r="E237" s="17">
        <f>TL!C257</f>
        <v>0</v>
      </c>
      <c r="F237" s="17" t="e">
        <f t="shared" si="31"/>
        <v>#DIV/0!</v>
      </c>
      <c r="G237" s="17" t="e">
        <f t="shared" si="32"/>
        <v>#DIV/0!</v>
      </c>
      <c r="H237" s="17" t="e">
        <f t="shared" si="33"/>
        <v>#DIV/0!</v>
      </c>
      <c r="I237" s="17" t="e">
        <f t="shared" si="34"/>
        <v>#DIV/0!</v>
      </c>
      <c r="J237" s="17" t="e">
        <f t="shared" si="35"/>
        <v>#DIV/0!</v>
      </c>
      <c r="K237" s="17" t="e">
        <f t="shared" si="36"/>
        <v>#DIV/0!</v>
      </c>
      <c r="L237" s="17" t="e">
        <f t="shared" si="37"/>
        <v>#DIV/0!</v>
      </c>
      <c r="M237" s="17" t="e">
        <f t="shared" si="38"/>
        <v>#DIV/0!</v>
      </c>
      <c r="N237" s="17" t="e">
        <f t="shared" si="39"/>
        <v>#DIV/0!</v>
      </c>
      <c r="O237" s="17" t="e">
        <f t="shared" si="40"/>
        <v>#DIV/0!</v>
      </c>
    </row>
    <row r="238" spans="4:15" x14ac:dyDescent="0.3">
      <c r="D238" s="17">
        <f>TL!D258</f>
        <v>0</v>
      </c>
      <c r="E238" s="17">
        <f>TL!C258</f>
        <v>0</v>
      </c>
      <c r="F238" s="17" t="e">
        <f t="shared" si="31"/>
        <v>#DIV/0!</v>
      </c>
      <c r="G238" s="17" t="e">
        <f t="shared" si="32"/>
        <v>#DIV/0!</v>
      </c>
      <c r="H238" s="17" t="e">
        <f t="shared" si="33"/>
        <v>#DIV/0!</v>
      </c>
      <c r="I238" s="17" t="e">
        <f t="shared" si="34"/>
        <v>#DIV/0!</v>
      </c>
      <c r="J238" s="17" t="e">
        <f t="shared" si="35"/>
        <v>#DIV/0!</v>
      </c>
      <c r="K238" s="17" t="e">
        <f t="shared" si="36"/>
        <v>#DIV/0!</v>
      </c>
      <c r="L238" s="17" t="e">
        <f t="shared" si="37"/>
        <v>#DIV/0!</v>
      </c>
      <c r="M238" s="17" t="e">
        <f t="shared" si="38"/>
        <v>#DIV/0!</v>
      </c>
      <c r="N238" s="17" t="e">
        <f t="shared" si="39"/>
        <v>#DIV/0!</v>
      </c>
      <c r="O238" s="17" t="e">
        <f t="shared" si="40"/>
        <v>#DIV/0!</v>
      </c>
    </row>
    <row r="239" spans="4:15" x14ac:dyDescent="0.3">
      <c r="D239" s="17">
        <f>TL!D259</f>
        <v>0</v>
      </c>
      <c r="E239" s="17">
        <f>TL!C259</f>
        <v>0</v>
      </c>
      <c r="F239" s="17" t="e">
        <f t="shared" si="31"/>
        <v>#DIV/0!</v>
      </c>
      <c r="G239" s="17" t="e">
        <f t="shared" si="32"/>
        <v>#DIV/0!</v>
      </c>
      <c r="H239" s="17" t="e">
        <f t="shared" si="33"/>
        <v>#DIV/0!</v>
      </c>
      <c r="I239" s="17" t="e">
        <f t="shared" si="34"/>
        <v>#DIV/0!</v>
      </c>
      <c r="J239" s="17" t="e">
        <f t="shared" si="35"/>
        <v>#DIV/0!</v>
      </c>
      <c r="K239" s="17" t="e">
        <f t="shared" si="36"/>
        <v>#DIV/0!</v>
      </c>
      <c r="L239" s="17" t="e">
        <f t="shared" si="37"/>
        <v>#DIV/0!</v>
      </c>
      <c r="M239" s="17" t="e">
        <f t="shared" si="38"/>
        <v>#DIV/0!</v>
      </c>
      <c r="N239" s="17" t="e">
        <f t="shared" si="39"/>
        <v>#DIV/0!</v>
      </c>
      <c r="O239" s="17" t="e">
        <f t="shared" si="40"/>
        <v>#DIV/0!</v>
      </c>
    </row>
    <row r="240" spans="4:15" x14ac:dyDescent="0.3">
      <c r="D240" s="17">
        <f>TL!D260</f>
        <v>0</v>
      </c>
      <c r="E240" s="17">
        <f>TL!C260</f>
        <v>0</v>
      </c>
      <c r="F240" s="17" t="e">
        <f t="shared" si="31"/>
        <v>#DIV/0!</v>
      </c>
      <c r="G240" s="17" t="e">
        <f t="shared" si="32"/>
        <v>#DIV/0!</v>
      </c>
      <c r="H240" s="17" t="e">
        <f t="shared" si="33"/>
        <v>#DIV/0!</v>
      </c>
      <c r="I240" s="17" t="e">
        <f t="shared" si="34"/>
        <v>#DIV/0!</v>
      </c>
      <c r="J240" s="17" t="e">
        <f t="shared" si="35"/>
        <v>#DIV/0!</v>
      </c>
      <c r="K240" s="17" t="e">
        <f t="shared" si="36"/>
        <v>#DIV/0!</v>
      </c>
      <c r="L240" s="17" t="e">
        <f t="shared" si="37"/>
        <v>#DIV/0!</v>
      </c>
      <c r="M240" s="17" t="e">
        <f t="shared" si="38"/>
        <v>#DIV/0!</v>
      </c>
      <c r="N240" s="17" t="e">
        <f t="shared" si="39"/>
        <v>#DIV/0!</v>
      </c>
      <c r="O240" s="17" t="e">
        <f t="shared" si="40"/>
        <v>#DIV/0!</v>
      </c>
    </row>
    <row r="241" spans="4:15" x14ac:dyDescent="0.3">
      <c r="D241" s="17">
        <f>TL!D261</f>
        <v>0</v>
      </c>
      <c r="E241" s="17">
        <f>TL!C261</f>
        <v>0</v>
      </c>
      <c r="F241" s="17" t="e">
        <f t="shared" si="31"/>
        <v>#DIV/0!</v>
      </c>
      <c r="G241" s="17" t="e">
        <f t="shared" si="32"/>
        <v>#DIV/0!</v>
      </c>
      <c r="H241" s="17" t="e">
        <f t="shared" si="33"/>
        <v>#DIV/0!</v>
      </c>
      <c r="I241" s="17" t="e">
        <f t="shared" si="34"/>
        <v>#DIV/0!</v>
      </c>
      <c r="J241" s="17" t="e">
        <f t="shared" si="35"/>
        <v>#DIV/0!</v>
      </c>
      <c r="K241" s="17" t="e">
        <f t="shared" si="36"/>
        <v>#DIV/0!</v>
      </c>
      <c r="L241" s="17" t="e">
        <f t="shared" si="37"/>
        <v>#DIV/0!</v>
      </c>
      <c r="M241" s="17" t="e">
        <f t="shared" si="38"/>
        <v>#DIV/0!</v>
      </c>
      <c r="N241" s="17" t="e">
        <f t="shared" si="39"/>
        <v>#DIV/0!</v>
      </c>
      <c r="O241" s="17" t="e">
        <f t="shared" si="40"/>
        <v>#DIV/0!</v>
      </c>
    </row>
    <row r="242" spans="4:15" x14ac:dyDescent="0.3">
      <c r="D242" s="17">
        <f>TL!D262</f>
        <v>0</v>
      </c>
      <c r="E242" s="17">
        <f>TL!C262</f>
        <v>0</v>
      </c>
      <c r="F242" s="17" t="e">
        <f t="shared" si="31"/>
        <v>#DIV/0!</v>
      </c>
      <c r="G242" s="17" t="e">
        <f t="shared" si="32"/>
        <v>#DIV/0!</v>
      </c>
      <c r="H242" s="17" t="e">
        <f t="shared" si="33"/>
        <v>#DIV/0!</v>
      </c>
      <c r="I242" s="17" t="e">
        <f t="shared" si="34"/>
        <v>#DIV/0!</v>
      </c>
      <c r="J242" s="17" t="e">
        <f t="shared" si="35"/>
        <v>#DIV/0!</v>
      </c>
      <c r="K242" s="17" t="e">
        <f t="shared" si="36"/>
        <v>#DIV/0!</v>
      </c>
      <c r="L242" s="17" t="e">
        <f t="shared" si="37"/>
        <v>#DIV/0!</v>
      </c>
      <c r="M242" s="17" t="e">
        <f t="shared" si="38"/>
        <v>#DIV/0!</v>
      </c>
      <c r="N242" s="17" t="e">
        <f t="shared" si="39"/>
        <v>#DIV/0!</v>
      </c>
      <c r="O242" s="17" t="e">
        <f t="shared" si="40"/>
        <v>#DIV/0!</v>
      </c>
    </row>
    <row r="243" spans="4:15" x14ac:dyDescent="0.3">
      <c r="D243" s="17">
        <f>TL!D263</f>
        <v>0</v>
      </c>
      <c r="E243" s="17">
        <f>TL!C263</f>
        <v>0</v>
      </c>
      <c r="F243" s="17" t="e">
        <f t="shared" si="31"/>
        <v>#DIV/0!</v>
      </c>
      <c r="G243" s="17" t="e">
        <f t="shared" si="32"/>
        <v>#DIV/0!</v>
      </c>
      <c r="H243" s="17" t="e">
        <f t="shared" si="33"/>
        <v>#DIV/0!</v>
      </c>
      <c r="I243" s="17" t="e">
        <f t="shared" si="34"/>
        <v>#DIV/0!</v>
      </c>
      <c r="J243" s="17" t="e">
        <f t="shared" si="35"/>
        <v>#DIV/0!</v>
      </c>
      <c r="K243" s="17" t="e">
        <f t="shared" si="36"/>
        <v>#DIV/0!</v>
      </c>
      <c r="L243" s="17" t="e">
        <f t="shared" si="37"/>
        <v>#DIV/0!</v>
      </c>
      <c r="M243" s="17" t="e">
        <f t="shared" si="38"/>
        <v>#DIV/0!</v>
      </c>
      <c r="N243" s="17" t="e">
        <f t="shared" si="39"/>
        <v>#DIV/0!</v>
      </c>
      <c r="O243" s="17" t="e">
        <f t="shared" si="40"/>
        <v>#DIV/0!</v>
      </c>
    </row>
    <row r="244" spans="4:15" x14ac:dyDescent="0.3">
      <c r="D244" s="17">
        <f>TL!D264</f>
        <v>0</v>
      </c>
      <c r="E244" s="17">
        <f>TL!C264</f>
        <v>0</v>
      </c>
      <c r="F244" s="17" t="e">
        <f t="shared" si="31"/>
        <v>#DIV/0!</v>
      </c>
      <c r="G244" s="17" t="e">
        <f t="shared" si="32"/>
        <v>#DIV/0!</v>
      </c>
      <c r="H244" s="17" t="e">
        <f t="shared" si="33"/>
        <v>#DIV/0!</v>
      </c>
      <c r="I244" s="17" t="e">
        <f t="shared" si="34"/>
        <v>#DIV/0!</v>
      </c>
      <c r="J244" s="17" t="e">
        <f t="shared" si="35"/>
        <v>#DIV/0!</v>
      </c>
      <c r="K244" s="17" t="e">
        <f t="shared" si="36"/>
        <v>#DIV/0!</v>
      </c>
      <c r="L244" s="17" t="e">
        <f t="shared" si="37"/>
        <v>#DIV/0!</v>
      </c>
      <c r="M244" s="17" t="e">
        <f t="shared" si="38"/>
        <v>#DIV/0!</v>
      </c>
      <c r="N244" s="17" t="e">
        <f t="shared" si="39"/>
        <v>#DIV/0!</v>
      </c>
      <c r="O244" s="17" t="e">
        <f t="shared" si="40"/>
        <v>#DIV/0!</v>
      </c>
    </row>
    <row r="245" spans="4:15" x14ac:dyDescent="0.3">
      <c r="D245" s="17">
        <f>TL!D265</f>
        <v>0</v>
      </c>
      <c r="E245" s="17">
        <f>TL!C265</f>
        <v>0</v>
      </c>
      <c r="F245" s="17" t="e">
        <f t="shared" si="31"/>
        <v>#DIV/0!</v>
      </c>
      <c r="G245" s="17" t="e">
        <f t="shared" si="32"/>
        <v>#DIV/0!</v>
      </c>
      <c r="H245" s="17" t="e">
        <f t="shared" si="33"/>
        <v>#DIV/0!</v>
      </c>
      <c r="I245" s="17" t="e">
        <f t="shared" si="34"/>
        <v>#DIV/0!</v>
      </c>
      <c r="J245" s="17" t="e">
        <f t="shared" si="35"/>
        <v>#DIV/0!</v>
      </c>
      <c r="K245" s="17" t="e">
        <f t="shared" si="36"/>
        <v>#DIV/0!</v>
      </c>
      <c r="L245" s="17" t="e">
        <f t="shared" si="37"/>
        <v>#DIV/0!</v>
      </c>
      <c r="M245" s="17" t="e">
        <f t="shared" si="38"/>
        <v>#DIV/0!</v>
      </c>
      <c r="N245" s="17" t="e">
        <f t="shared" si="39"/>
        <v>#DIV/0!</v>
      </c>
      <c r="O245" s="17" t="e">
        <f t="shared" si="40"/>
        <v>#DIV/0!</v>
      </c>
    </row>
    <row r="246" spans="4:15" x14ac:dyDescent="0.3">
      <c r="D246" s="17">
        <f>TL!D266</f>
        <v>0</v>
      </c>
      <c r="E246" s="17">
        <f>TL!C266</f>
        <v>0</v>
      </c>
      <c r="F246" s="17" t="e">
        <f t="shared" si="31"/>
        <v>#DIV/0!</v>
      </c>
      <c r="G246" s="17" t="e">
        <f t="shared" si="32"/>
        <v>#DIV/0!</v>
      </c>
      <c r="H246" s="17" t="e">
        <f t="shared" si="33"/>
        <v>#DIV/0!</v>
      </c>
      <c r="I246" s="17" t="e">
        <f t="shared" si="34"/>
        <v>#DIV/0!</v>
      </c>
      <c r="J246" s="17" t="e">
        <f t="shared" si="35"/>
        <v>#DIV/0!</v>
      </c>
      <c r="K246" s="17" t="e">
        <f t="shared" si="36"/>
        <v>#DIV/0!</v>
      </c>
      <c r="L246" s="17" t="e">
        <f t="shared" si="37"/>
        <v>#DIV/0!</v>
      </c>
      <c r="M246" s="17" t="e">
        <f t="shared" si="38"/>
        <v>#DIV/0!</v>
      </c>
      <c r="N246" s="17" t="e">
        <f t="shared" si="39"/>
        <v>#DIV/0!</v>
      </c>
      <c r="O246" s="17" t="e">
        <f t="shared" si="40"/>
        <v>#DIV/0!</v>
      </c>
    </row>
    <row r="247" spans="4:15" x14ac:dyDescent="0.3">
      <c r="D247" s="17">
        <f>TL!D267</f>
        <v>0</v>
      </c>
      <c r="E247" s="17">
        <f>TL!C267</f>
        <v>0</v>
      </c>
      <c r="F247" s="17" t="e">
        <f t="shared" si="31"/>
        <v>#DIV/0!</v>
      </c>
      <c r="G247" s="17" t="e">
        <f t="shared" si="32"/>
        <v>#DIV/0!</v>
      </c>
      <c r="H247" s="17" t="e">
        <f t="shared" si="33"/>
        <v>#DIV/0!</v>
      </c>
      <c r="I247" s="17" t="e">
        <f t="shared" si="34"/>
        <v>#DIV/0!</v>
      </c>
      <c r="J247" s="17" t="e">
        <f t="shared" si="35"/>
        <v>#DIV/0!</v>
      </c>
      <c r="K247" s="17" t="e">
        <f t="shared" si="36"/>
        <v>#DIV/0!</v>
      </c>
      <c r="L247" s="17" t="e">
        <f t="shared" si="37"/>
        <v>#DIV/0!</v>
      </c>
      <c r="M247" s="17" t="e">
        <f t="shared" si="38"/>
        <v>#DIV/0!</v>
      </c>
      <c r="N247" s="17" t="e">
        <f t="shared" si="39"/>
        <v>#DIV/0!</v>
      </c>
      <c r="O247" s="17" t="e">
        <f t="shared" si="40"/>
        <v>#DIV/0!</v>
      </c>
    </row>
    <row r="248" spans="4:15" x14ac:dyDescent="0.3">
      <c r="D248" s="17">
        <f>TL!D268</f>
        <v>0</v>
      </c>
      <c r="E248" s="17">
        <f>TL!C268</f>
        <v>0</v>
      </c>
      <c r="F248" s="17" t="e">
        <f t="shared" si="31"/>
        <v>#DIV/0!</v>
      </c>
      <c r="G248" s="17" t="e">
        <f t="shared" si="32"/>
        <v>#DIV/0!</v>
      </c>
      <c r="H248" s="17" t="e">
        <f t="shared" si="33"/>
        <v>#DIV/0!</v>
      </c>
      <c r="I248" s="17" t="e">
        <f t="shared" si="34"/>
        <v>#DIV/0!</v>
      </c>
      <c r="J248" s="17" t="e">
        <f t="shared" si="35"/>
        <v>#DIV/0!</v>
      </c>
      <c r="K248" s="17" t="e">
        <f t="shared" si="36"/>
        <v>#DIV/0!</v>
      </c>
      <c r="L248" s="17" t="e">
        <f t="shared" si="37"/>
        <v>#DIV/0!</v>
      </c>
      <c r="M248" s="17" t="e">
        <f t="shared" si="38"/>
        <v>#DIV/0!</v>
      </c>
      <c r="N248" s="17" t="e">
        <f t="shared" si="39"/>
        <v>#DIV/0!</v>
      </c>
      <c r="O248" s="17" t="e">
        <f t="shared" si="40"/>
        <v>#DIV/0!</v>
      </c>
    </row>
    <row r="249" spans="4:15" x14ac:dyDescent="0.3">
      <c r="D249" s="17">
        <f>TL!D269</f>
        <v>0</v>
      </c>
      <c r="E249" s="17">
        <f>TL!C269</f>
        <v>0</v>
      </c>
      <c r="F249" s="17" t="e">
        <f t="shared" si="31"/>
        <v>#DIV/0!</v>
      </c>
      <c r="G249" s="17" t="e">
        <f t="shared" si="32"/>
        <v>#DIV/0!</v>
      </c>
      <c r="H249" s="17" t="e">
        <f t="shared" si="33"/>
        <v>#DIV/0!</v>
      </c>
      <c r="I249" s="17" t="e">
        <f t="shared" si="34"/>
        <v>#DIV/0!</v>
      </c>
      <c r="J249" s="17" t="e">
        <f t="shared" si="35"/>
        <v>#DIV/0!</v>
      </c>
      <c r="K249" s="17" t="e">
        <f t="shared" si="36"/>
        <v>#DIV/0!</v>
      </c>
      <c r="L249" s="17" t="e">
        <f t="shared" si="37"/>
        <v>#DIV/0!</v>
      </c>
      <c r="M249" s="17" t="e">
        <f t="shared" si="38"/>
        <v>#DIV/0!</v>
      </c>
      <c r="N249" s="17" t="e">
        <f t="shared" si="39"/>
        <v>#DIV/0!</v>
      </c>
      <c r="O249" s="17" t="e">
        <f t="shared" si="40"/>
        <v>#DIV/0!</v>
      </c>
    </row>
    <row r="250" spans="4:15" x14ac:dyDescent="0.3">
      <c r="D250" s="17">
        <f>TL!D270</f>
        <v>0</v>
      </c>
      <c r="E250" s="17">
        <f>TL!C270</f>
        <v>0</v>
      </c>
      <c r="F250" s="17" t="e">
        <f t="shared" si="31"/>
        <v>#DIV/0!</v>
      </c>
      <c r="G250" s="17" t="e">
        <f t="shared" si="32"/>
        <v>#DIV/0!</v>
      </c>
      <c r="H250" s="17" t="e">
        <f t="shared" si="33"/>
        <v>#DIV/0!</v>
      </c>
      <c r="I250" s="17" t="e">
        <f t="shared" si="34"/>
        <v>#DIV/0!</v>
      </c>
      <c r="J250" s="17" t="e">
        <f t="shared" si="35"/>
        <v>#DIV/0!</v>
      </c>
      <c r="K250" s="17" t="e">
        <f t="shared" si="36"/>
        <v>#DIV/0!</v>
      </c>
      <c r="L250" s="17" t="e">
        <f t="shared" si="37"/>
        <v>#DIV/0!</v>
      </c>
      <c r="M250" s="17" t="e">
        <f t="shared" si="38"/>
        <v>#DIV/0!</v>
      </c>
      <c r="N250" s="17" t="e">
        <f t="shared" si="39"/>
        <v>#DIV/0!</v>
      </c>
      <c r="O250" s="17" t="e">
        <f t="shared" si="40"/>
        <v>#DIV/0!</v>
      </c>
    </row>
    <row r="251" spans="4:15" x14ac:dyDescent="0.3">
      <c r="D251" s="17">
        <f>TL!D271</f>
        <v>0</v>
      </c>
      <c r="E251" s="17">
        <f>TL!C271</f>
        <v>0</v>
      </c>
      <c r="F251" s="17" t="e">
        <f t="shared" si="31"/>
        <v>#DIV/0!</v>
      </c>
      <c r="G251" s="17" t="e">
        <f t="shared" si="32"/>
        <v>#DIV/0!</v>
      </c>
      <c r="H251" s="17" t="e">
        <f t="shared" si="33"/>
        <v>#DIV/0!</v>
      </c>
      <c r="I251" s="17" t="e">
        <f t="shared" si="34"/>
        <v>#DIV/0!</v>
      </c>
      <c r="J251" s="17" t="e">
        <f t="shared" si="35"/>
        <v>#DIV/0!</v>
      </c>
      <c r="K251" s="17" t="e">
        <f t="shared" si="36"/>
        <v>#DIV/0!</v>
      </c>
      <c r="L251" s="17" t="e">
        <f t="shared" si="37"/>
        <v>#DIV/0!</v>
      </c>
      <c r="M251" s="17" t="e">
        <f t="shared" si="38"/>
        <v>#DIV/0!</v>
      </c>
      <c r="N251" s="17" t="e">
        <f t="shared" si="39"/>
        <v>#DIV/0!</v>
      </c>
      <c r="O251" s="17" t="e">
        <f t="shared" si="40"/>
        <v>#DIV/0!</v>
      </c>
    </row>
    <row r="252" spans="4:15" x14ac:dyDescent="0.3">
      <c r="D252" s="17">
        <f>TL!D272</f>
        <v>0</v>
      </c>
      <c r="E252" s="17">
        <f>TL!C272</f>
        <v>0</v>
      </c>
      <c r="F252" s="17" t="e">
        <f t="shared" si="31"/>
        <v>#DIV/0!</v>
      </c>
      <c r="G252" s="17" t="e">
        <f t="shared" si="32"/>
        <v>#DIV/0!</v>
      </c>
      <c r="H252" s="17" t="e">
        <f t="shared" si="33"/>
        <v>#DIV/0!</v>
      </c>
      <c r="I252" s="17" t="e">
        <f t="shared" si="34"/>
        <v>#DIV/0!</v>
      </c>
      <c r="J252" s="17" t="e">
        <f t="shared" si="35"/>
        <v>#DIV/0!</v>
      </c>
      <c r="K252" s="17" t="e">
        <f t="shared" si="36"/>
        <v>#DIV/0!</v>
      </c>
      <c r="L252" s="17" t="e">
        <f t="shared" si="37"/>
        <v>#DIV/0!</v>
      </c>
      <c r="M252" s="17" t="e">
        <f t="shared" si="38"/>
        <v>#DIV/0!</v>
      </c>
      <c r="N252" s="17" t="e">
        <f t="shared" si="39"/>
        <v>#DIV/0!</v>
      </c>
      <c r="O252" s="17" t="e">
        <f t="shared" si="40"/>
        <v>#DIV/0!</v>
      </c>
    </row>
    <row r="253" spans="4:15" x14ac:dyDescent="0.3">
      <c r="D253" s="17">
        <f>TL!D273</f>
        <v>0</v>
      </c>
      <c r="E253" s="17">
        <f>TL!C273</f>
        <v>0</v>
      </c>
      <c r="F253" s="17" t="e">
        <f t="shared" si="31"/>
        <v>#DIV/0!</v>
      </c>
      <c r="G253" s="17" t="e">
        <f t="shared" si="32"/>
        <v>#DIV/0!</v>
      </c>
      <c r="H253" s="17" t="e">
        <f t="shared" si="33"/>
        <v>#DIV/0!</v>
      </c>
      <c r="I253" s="17" t="e">
        <f t="shared" si="34"/>
        <v>#DIV/0!</v>
      </c>
      <c r="J253" s="17" t="e">
        <f t="shared" si="35"/>
        <v>#DIV/0!</v>
      </c>
      <c r="K253" s="17" t="e">
        <f t="shared" si="36"/>
        <v>#DIV/0!</v>
      </c>
      <c r="L253" s="17" t="e">
        <f t="shared" si="37"/>
        <v>#DIV/0!</v>
      </c>
      <c r="M253" s="17" t="e">
        <f t="shared" si="38"/>
        <v>#DIV/0!</v>
      </c>
      <c r="N253" s="17" t="e">
        <f t="shared" si="39"/>
        <v>#DIV/0!</v>
      </c>
      <c r="O253" s="17" t="e">
        <f t="shared" si="40"/>
        <v>#DIV/0!</v>
      </c>
    </row>
    <row r="254" spans="4:15" x14ac:dyDescent="0.3">
      <c r="D254" s="17">
        <f>TL!D274</f>
        <v>0</v>
      </c>
      <c r="E254" s="17">
        <f>TL!C274</f>
        <v>0</v>
      </c>
      <c r="F254" s="17" t="e">
        <f t="shared" si="31"/>
        <v>#DIV/0!</v>
      </c>
      <c r="G254" s="17" t="e">
        <f t="shared" si="32"/>
        <v>#DIV/0!</v>
      </c>
      <c r="H254" s="17" t="e">
        <f t="shared" si="33"/>
        <v>#DIV/0!</v>
      </c>
      <c r="I254" s="17" t="e">
        <f t="shared" si="34"/>
        <v>#DIV/0!</v>
      </c>
      <c r="J254" s="17" t="e">
        <f t="shared" si="35"/>
        <v>#DIV/0!</v>
      </c>
      <c r="K254" s="17" t="e">
        <f t="shared" si="36"/>
        <v>#DIV/0!</v>
      </c>
      <c r="L254" s="17" t="e">
        <f t="shared" si="37"/>
        <v>#DIV/0!</v>
      </c>
      <c r="M254" s="17" t="e">
        <f t="shared" si="38"/>
        <v>#DIV/0!</v>
      </c>
      <c r="N254" s="17" t="e">
        <f t="shared" si="39"/>
        <v>#DIV/0!</v>
      </c>
      <c r="O254" s="17" t="e">
        <f t="shared" si="40"/>
        <v>#DIV/0!</v>
      </c>
    </row>
    <row r="255" spans="4:15" x14ac:dyDescent="0.3">
      <c r="D255" s="17">
        <f>TL!D275</f>
        <v>0</v>
      </c>
      <c r="E255" s="17">
        <f>TL!C275</f>
        <v>0</v>
      </c>
      <c r="F255" s="17" t="e">
        <f t="shared" si="31"/>
        <v>#DIV/0!</v>
      </c>
      <c r="G255" s="17" t="e">
        <f t="shared" si="32"/>
        <v>#DIV/0!</v>
      </c>
      <c r="H255" s="17" t="e">
        <f t="shared" si="33"/>
        <v>#DIV/0!</v>
      </c>
      <c r="I255" s="17" t="e">
        <f t="shared" si="34"/>
        <v>#DIV/0!</v>
      </c>
      <c r="J255" s="17" t="e">
        <f t="shared" si="35"/>
        <v>#DIV/0!</v>
      </c>
      <c r="K255" s="17" t="e">
        <f t="shared" si="36"/>
        <v>#DIV/0!</v>
      </c>
      <c r="L255" s="17" t="e">
        <f t="shared" si="37"/>
        <v>#DIV/0!</v>
      </c>
      <c r="M255" s="17" t="e">
        <f t="shared" si="38"/>
        <v>#DIV/0!</v>
      </c>
      <c r="N255" s="17" t="e">
        <f t="shared" si="39"/>
        <v>#DIV/0!</v>
      </c>
      <c r="O255" s="17" t="e">
        <f t="shared" si="40"/>
        <v>#DIV/0!</v>
      </c>
    </row>
    <row r="256" spans="4:15" x14ac:dyDescent="0.3">
      <c r="D256" s="17">
        <f>TL!D276</f>
        <v>0</v>
      </c>
      <c r="E256" s="17">
        <f>TL!C276</f>
        <v>0</v>
      </c>
      <c r="F256" s="17" t="e">
        <f t="shared" si="31"/>
        <v>#DIV/0!</v>
      </c>
      <c r="G256" s="17" t="e">
        <f t="shared" si="32"/>
        <v>#DIV/0!</v>
      </c>
      <c r="H256" s="17" t="e">
        <f t="shared" si="33"/>
        <v>#DIV/0!</v>
      </c>
      <c r="I256" s="17" t="e">
        <f t="shared" si="34"/>
        <v>#DIV/0!</v>
      </c>
      <c r="J256" s="17" t="e">
        <f t="shared" si="35"/>
        <v>#DIV/0!</v>
      </c>
      <c r="K256" s="17" t="e">
        <f t="shared" si="36"/>
        <v>#DIV/0!</v>
      </c>
      <c r="L256" s="17" t="e">
        <f t="shared" si="37"/>
        <v>#DIV/0!</v>
      </c>
      <c r="M256" s="17" t="e">
        <f t="shared" si="38"/>
        <v>#DIV/0!</v>
      </c>
      <c r="N256" s="17" t="e">
        <f t="shared" si="39"/>
        <v>#DIV/0!</v>
      </c>
      <c r="O256" s="17" t="e">
        <f t="shared" si="40"/>
        <v>#DIV/0!</v>
      </c>
    </row>
    <row r="257" spans="4:15" x14ac:dyDescent="0.3">
      <c r="D257" s="17">
        <f>TL!D277</f>
        <v>0</v>
      </c>
      <c r="E257" s="17">
        <f>TL!C277</f>
        <v>0</v>
      </c>
      <c r="F257" s="17" t="e">
        <f t="shared" si="31"/>
        <v>#DIV/0!</v>
      </c>
      <c r="G257" s="17" t="e">
        <f t="shared" si="32"/>
        <v>#DIV/0!</v>
      </c>
      <c r="H257" s="17" t="e">
        <f t="shared" si="33"/>
        <v>#DIV/0!</v>
      </c>
      <c r="I257" s="17" t="e">
        <f t="shared" si="34"/>
        <v>#DIV/0!</v>
      </c>
      <c r="J257" s="17" t="e">
        <f t="shared" si="35"/>
        <v>#DIV/0!</v>
      </c>
      <c r="K257" s="17" t="e">
        <f t="shared" si="36"/>
        <v>#DIV/0!</v>
      </c>
      <c r="L257" s="17" t="e">
        <f t="shared" si="37"/>
        <v>#DIV/0!</v>
      </c>
      <c r="M257" s="17" t="e">
        <f t="shared" si="38"/>
        <v>#DIV/0!</v>
      </c>
      <c r="N257" s="17" t="e">
        <f t="shared" si="39"/>
        <v>#DIV/0!</v>
      </c>
      <c r="O257" s="17" t="e">
        <f t="shared" si="40"/>
        <v>#DIV/0!</v>
      </c>
    </row>
    <row r="258" spans="4:15" x14ac:dyDescent="0.3">
      <c r="D258" s="17">
        <f>TL!D278</f>
        <v>0</v>
      </c>
      <c r="E258" s="17">
        <f>TL!C278</f>
        <v>0</v>
      </c>
      <c r="F258" s="17" t="e">
        <f t="shared" si="31"/>
        <v>#DIV/0!</v>
      </c>
      <c r="G258" s="17" t="e">
        <f t="shared" si="32"/>
        <v>#DIV/0!</v>
      </c>
      <c r="H258" s="17" t="e">
        <f t="shared" si="33"/>
        <v>#DIV/0!</v>
      </c>
      <c r="I258" s="17" t="e">
        <f t="shared" si="34"/>
        <v>#DIV/0!</v>
      </c>
      <c r="J258" s="17" t="e">
        <f t="shared" si="35"/>
        <v>#DIV/0!</v>
      </c>
      <c r="K258" s="17" t="e">
        <f t="shared" si="36"/>
        <v>#DIV/0!</v>
      </c>
      <c r="L258" s="17" t="e">
        <f t="shared" si="37"/>
        <v>#DIV/0!</v>
      </c>
      <c r="M258" s="17" t="e">
        <f t="shared" si="38"/>
        <v>#DIV/0!</v>
      </c>
      <c r="N258" s="17" t="e">
        <f t="shared" si="39"/>
        <v>#DIV/0!</v>
      </c>
      <c r="O258" s="17" t="e">
        <f t="shared" si="40"/>
        <v>#DIV/0!</v>
      </c>
    </row>
    <row r="259" spans="4:15" x14ac:dyDescent="0.3">
      <c r="D259" s="17">
        <f>TL!D279</f>
        <v>0</v>
      </c>
      <c r="E259" s="17">
        <f>TL!C279</f>
        <v>0</v>
      </c>
      <c r="F259" s="17" t="e">
        <f t="shared" si="31"/>
        <v>#DIV/0!</v>
      </c>
      <c r="G259" s="17" t="e">
        <f t="shared" si="32"/>
        <v>#DIV/0!</v>
      </c>
      <c r="H259" s="17" t="e">
        <f t="shared" si="33"/>
        <v>#DIV/0!</v>
      </c>
      <c r="I259" s="17" t="e">
        <f t="shared" si="34"/>
        <v>#DIV/0!</v>
      </c>
      <c r="J259" s="17" t="e">
        <f t="shared" si="35"/>
        <v>#DIV/0!</v>
      </c>
      <c r="K259" s="17" t="e">
        <f t="shared" si="36"/>
        <v>#DIV/0!</v>
      </c>
      <c r="L259" s="17" t="e">
        <f t="shared" si="37"/>
        <v>#DIV/0!</v>
      </c>
      <c r="M259" s="17" t="e">
        <f t="shared" si="38"/>
        <v>#DIV/0!</v>
      </c>
      <c r="N259" s="17" t="e">
        <f t="shared" si="39"/>
        <v>#DIV/0!</v>
      </c>
      <c r="O259" s="17" t="e">
        <f t="shared" si="40"/>
        <v>#DIV/0!</v>
      </c>
    </row>
    <row r="260" spans="4:15" x14ac:dyDescent="0.3">
      <c r="D260" s="17">
        <f>TL!D280</f>
        <v>0</v>
      </c>
      <c r="E260" s="17">
        <f>TL!C280</f>
        <v>0</v>
      </c>
      <c r="F260" s="17" t="e">
        <f t="shared" si="31"/>
        <v>#DIV/0!</v>
      </c>
      <c r="G260" s="17" t="e">
        <f t="shared" si="32"/>
        <v>#DIV/0!</v>
      </c>
      <c r="H260" s="17" t="e">
        <f t="shared" si="33"/>
        <v>#DIV/0!</v>
      </c>
      <c r="I260" s="17" t="e">
        <f t="shared" si="34"/>
        <v>#DIV/0!</v>
      </c>
      <c r="J260" s="17" t="e">
        <f t="shared" si="35"/>
        <v>#DIV/0!</v>
      </c>
      <c r="K260" s="17" t="e">
        <f t="shared" si="36"/>
        <v>#DIV/0!</v>
      </c>
      <c r="L260" s="17" t="e">
        <f t="shared" si="37"/>
        <v>#DIV/0!</v>
      </c>
      <c r="M260" s="17" t="e">
        <f t="shared" si="38"/>
        <v>#DIV/0!</v>
      </c>
      <c r="N260" s="17" t="e">
        <f t="shared" si="39"/>
        <v>#DIV/0!</v>
      </c>
      <c r="O260" s="17" t="e">
        <f t="shared" si="40"/>
        <v>#DIV/0!</v>
      </c>
    </row>
    <row r="261" spans="4:15" x14ac:dyDescent="0.3">
      <c r="D261" s="17">
        <f>TL!D281</f>
        <v>0</v>
      </c>
      <c r="E261" s="17">
        <f>TL!C281</f>
        <v>0</v>
      </c>
      <c r="F261" s="17" t="e">
        <f t="shared" si="31"/>
        <v>#DIV/0!</v>
      </c>
      <c r="G261" s="17" t="e">
        <f t="shared" si="32"/>
        <v>#DIV/0!</v>
      </c>
      <c r="H261" s="17" t="e">
        <f t="shared" si="33"/>
        <v>#DIV/0!</v>
      </c>
      <c r="I261" s="17" t="e">
        <f t="shared" si="34"/>
        <v>#DIV/0!</v>
      </c>
      <c r="J261" s="17" t="e">
        <f t="shared" si="35"/>
        <v>#DIV/0!</v>
      </c>
      <c r="K261" s="17" t="e">
        <f t="shared" si="36"/>
        <v>#DIV/0!</v>
      </c>
      <c r="L261" s="17" t="e">
        <f t="shared" si="37"/>
        <v>#DIV/0!</v>
      </c>
      <c r="M261" s="17" t="e">
        <f t="shared" si="38"/>
        <v>#DIV/0!</v>
      </c>
      <c r="N261" s="17" t="e">
        <f t="shared" si="39"/>
        <v>#DIV/0!</v>
      </c>
      <c r="O261" s="17" t="e">
        <f t="shared" si="40"/>
        <v>#DIV/0!</v>
      </c>
    </row>
    <row r="262" spans="4:15" x14ac:dyDescent="0.3">
      <c r="D262" s="17">
        <f>TL!D282</f>
        <v>0</v>
      </c>
      <c r="E262" s="17">
        <f>TL!C282</f>
        <v>0</v>
      </c>
      <c r="F262" s="17" t="e">
        <f t="shared" si="31"/>
        <v>#DIV/0!</v>
      </c>
      <c r="G262" s="17" t="e">
        <f t="shared" si="32"/>
        <v>#DIV/0!</v>
      </c>
      <c r="H262" s="17" t="e">
        <f t="shared" si="33"/>
        <v>#DIV/0!</v>
      </c>
      <c r="I262" s="17" t="e">
        <f t="shared" si="34"/>
        <v>#DIV/0!</v>
      </c>
      <c r="J262" s="17" t="e">
        <f t="shared" si="35"/>
        <v>#DIV/0!</v>
      </c>
      <c r="K262" s="17" t="e">
        <f t="shared" si="36"/>
        <v>#DIV/0!</v>
      </c>
      <c r="L262" s="17" t="e">
        <f t="shared" si="37"/>
        <v>#DIV/0!</v>
      </c>
      <c r="M262" s="17" t="e">
        <f t="shared" si="38"/>
        <v>#DIV/0!</v>
      </c>
      <c r="N262" s="17" t="e">
        <f t="shared" si="39"/>
        <v>#DIV/0!</v>
      </c>
      <c r="O262" s="17" t="e">
        <f t="shared" si="40"/>
        <v>#DIV/0!</v>
      </c>
    </row>
    <row r="263" spans="4:15" x14ac:dyDescent="0.3">
      <c r="D263" s="17">
        <f>TL!D283</f>
        <v>0</v>
      </c>
      <c r="E263" s="17">
        <f>TL!C283</f>
        <v>0</v>
      </c>
      <c r="F263" s="17" t="e">
        <f t="shared" si="31"/>
        <v>#DIV/0!</v>
      </c>
      <c r="G263" s="17" t="e">
        <f t="shared" si="32"/>
        <v>#DIV/0!</v>
      </c>
      <c r="H263" s="17" t="e">
        <f t="shared" si="33"/>
        <v>#DIV/0!</v>
      </c>
      <c r="I263" s="17" t="e">
        <f t="shared" si="34"/>
        <v>#DIV/0!</v>
      </c>
      <c r="J263" s="17" t="e">
        <f t="shared" si="35"/>
        <v>#DIV/0!</v>
      </c>
      <c r="K263" s="17" t="e">
        <f t="shared" si="36"/>
        <v>#DIV/0!</v>
      </c>
      <c r="L263" s="17" t="e">
        <f t="shared" si="37"/>
        <v>#DIV/0!</v>
      </c>
      <c r="M263" s="17" t="e">
        <f t="shared" si="38"/>
        <v>#DIV/0!</v>
      </c>
      <c r="N263" s="17" t="e">
        <f t="shared" si="39"/>
        <v>#DIV/0!</v>
      </c>
      <c r="O263" s="17" t="e">
        <f t="shared" si="40"/>
        <v>#DIV/0!</v>
      </c>
    </row>
    <row r="264" spans="4:15" x14ac:dyDescent="0.3">
      <c r="D264" s="17">
        <f>TL!D284</f>
        <v>0</v>
      </c>
      <c r="E264" s="17">
        <f>TL!C284</f>
        <v>0</v>
      </c>
      <c r="F264" s="17" t="e">
        <f t="shared" si="31"/>
        <v>#DIV/0!</v>
      </c>
      <c r="G264" s="17" t="e">
        <f t="shared" si="32"/>
        <v>#DIV/0!</v>
      </c>
      <c r="H264" s="17" t="e">
        <f t="shared" si="33"/>
        <v>#DIV/0!</v>
      </c>
      <c r="I264" s="17" t="e">
        <f t="shared" si="34"/>
        <v>#DIV/0!</v>
      </c>
      <c r="J264" s="17" t="e">
        <f t="shared" si="35"/>
        <v>#DIV/0!</v>
      </c>
      <c r="K264" s="17" t="e">
        <f t="shared" si="36"/>
        <v>#DIV/0!</v>
      </c>
      <c r="L264" s="17" t="e">
        <f t="shared" si="37"/>
        <v>#DIV/0!</v>
      </c>
      <c r="M264" s="17" t="e">
        <f t="shared" si="38"/>
        <v>#DIV/0!</v>
      </c>
      <c r="N264" s="17" t="e">
        <f t="shared" si="39"/>
        <v>#DIV/0!</v>
      </c>
      <c r="O264" s="17" t="e">
        <f t="shared" si="40"/>
        <v>#DIV/0!</v>
      </c>
    </row>
    <row r="265" spans="4:15" x14ac:dyDescent="0.3">
      <c r="D265" s="17">
        <f>TL!D285</f>
        <v>0</v>
      </c>
      <c r="E265" s="17">
        <f>TL!C285</f>
        <v>0</v>
      </c>
      <c r="F265" s="17" t="e">
        <f t="shared" si="31"/>
        <v>#DIV/0!</v>
      </c>
      <c r="G265" s="17" t="e">
        <f t="shared" si="32"/>
        <v>#DIV/0!</v>
      </c>
      <c r="H265" s="17" t="e">
        <f t="shared" si="33"/>
        <v>#DIV/0!</v>
      </c>
      <c r="I265" s="17" t="e">
        <f t="shared" si="34"/>
        <v>#DIV/0!</v>
      </c>
      <c r="J265" s="17" t="e">
        <f t="shared" si="35"/>
        <v>#DIV/0!</v>
      </c>
      <c r="K265" s="17" t="e">
        <f t="shared" si="36"/>
        <v>#DIV/0!</v>
      </c>
      <c r="L265" s="17" t="e">
        <f t="shared" si="37"/>
        <v>#DIV/0!</v>
      </c>
      <c r="M265" s="17" t="e">
        <f t="shared" si="38"/>
        <v>#DIV/0!</v>
      </c>
      <c r="N265" s="17" t="e">
        <f t="shared" si="39"/>
        <v>#DIV/0!</v>
      </c>
      <c r="O265" s="17" t="e">
        <f t="shared" si="40"/>
        <v>#DIV/0!</v>
      </c>
    </row>
    <row r="266" spans="4:15" x14ac:dyDescent="0.3">
      <c r="D266" s="17">
        <f>TL!D286</f>
        <v>0</v>
      </c>
      <c r="E266" s="17">
        <f>TL!C286</f>
        <v>0</v>
      </c>
      <c r="F266" s="17" t="e">
        <f t="shared" si="31"/>
        <v>#DIV/0!</v>
      </c>
      <c r="G266" s="17" t="e">
        <f t="shared" si="32"/>
        <v>#DIV/0!</v>
      </c>
      <c r="H266" s="17" t="e">
        <f t="shared" si="33"/>
        <v>#DIV/0!</v>
      </c>
      <c r="I266" s="17" t="e">
        <f t="shared" si="34"/>
        <v>#DIV/0!</v>
      </c>
      <c r="J266" s="17" t="e">
        <f t="shared" si="35"/>
        <v>#DIV/0!</v>
      </c>
      <c r="K266" s="17" t="e">
        <f t="shared" si="36"/>
        <v>#DIV/0!</v>
      </c>
      <c r="L266" s="17" t="e">
        <f t="shared" si="37"/>
        <v>#DIV/0!</v>
      </c>
      <c r="M266" s="17" t="e">
        <f t="shared" si="38"/>
        <v>#DIV/0!</v>
      </c>
      <c r="N266" s="17" t="e">
        <f t="shared" si="39"/>
        <v>#DIV/0!</v>
      </c>
      <c r="O266" s="17" t="e">
        <f t="shared" si="40"/>
        <v>#DIV/0!</v>
      </c>
    </row>
    <row r="267" spans="4:15" x14ac:dyDescent="0.3">
      <c r="D267" s="17">
        <f>TL!D287</f>
        <v>0</v>
      </c>
      <c r="E267" s="17">
        <f>TL!C287</f>
        <v>0</v>
      </c>
      <c r="F267" s="17" t="e">
        <f t="shared" si="31"/>
        <v>#DIV/0!</v>
      </c>
      <c r="G267" s="17" t="e">
        <f t="shared" si="32"/>
        <v>#DIV/0!</v>
      </c>
      <c r="H267" s="17" t="e">
        <f t="shared" si="33"/>
        <v>#DIV/0!</v>
      </c>
      <c r="I267" s="17" t="e">
        <f t="shared" si="34"/>
        <v>#DIV/0!</v>
      </c>
      <c r="J267" s="17" t="e">
        <f t="shared" si="35"/>
        <v>#DIV/0!</v>
      </c>
      <c r="K267" s="17" t="e">
        <f t="shared" si="36"/>
        <v>#DIV/0!</v>
      </c>
      <c r="L267" s="17" t="e">
        <f t="shared" si="37"/>
        <v>#DIV/0!</v>
      </c>
      <c r="M267" s="17" t="e">
        <f t="shared" si="38"/>
        <v>#DIV/0!</v>
      </c>
      <c r="N267" s="17" t="e">
        <f t="shared" si="39"/>
        <v>#DIV/0!</v>
      </c>
      <c r="O267" s="17" t="e">
        <f t="shared" si="40"/>
        <v>#DIV/0!</v>
      </c>
    </row>
    <row r="268" spans="4:15" x14ac:dyDescent="0.3">
      <c r="D268" s="17">
        <f>TL!D288</f>
        <v>0</v>
      </c>
      <c r="E268" s="17">
        <f>TL!C288</f>
        <v>0</v>
      </c>
      <c r="F268" s="17" t="e">
        <f t="shared" si="31"/>
        <v>#DIV/0!</v>
      </c>
      <c r="G268" s="17" t="e">
        <f t="shared" si="32"/>
        <v>#DIV/0!</v>
      </c>
      <c r="H268" s="17" t="e">
        <f t="shared" si="33"/>
        <v>#DIV/0!</v>
      </c>
      <c r="I268" s="17" t="e">
        <f t="shared" si="34"/>
        <v>#DIV/0!</v>
      </c>
      <c r="J268" s="17" t="e">
        <f t="shared" si="35"/>
        <v>#DIV/0!</v>
      </c>
      <c r="K268" s="17" t="e">
        <f t="shared" si="36"/>
        <v>#DIV/0!</v>
      </c>
      <c r="L268" s="17" t="e">
        <f t="shared" si="37"/>
        <v>#DIV/0!</v>
      </c>
      <c r="M268" s="17" t="e">
        <f t="shared" si="38"/>
        <v>#DIV/0!</v>
      </c>
      <c r="N268" s="17" t="e">
        <f t="shared" si="39"/>
        <v>#DIV/0!</v>
      </c>
      <c r="O268" s="17" t="e">
        <f t="shared" si="40"/>
        <v>#DIV/0!</v>
      </c>
    </row>
    <row r="269" spans="4:15" x14ac:dyDescent="0.3">
      <c r="D269" s="17">
        <f>TL!D289</f>
        <v>0</v>
      </c>
      <c r="E269" s="17">
        <f>TL!C289</f>
        <v>0</v>
      </c>
      <c r="F269" s="17" t="e">
        <f t="shared" si="31"/>
        <v>#DIV/0!</v>
      </c>
      <c r="G269" s="17" t="e">
        <f t="shared" si="32"/>
        <v>#DIV/0!</v>
      </c>
      <c r="H269" s="17" t="e">
        <f t="shared" si="33"/>
        <v>#DIV/0!</v>
      </c>
      <c r="I269" s="17" t="e">
        <f t="shared" si="34"/>
        <v>#DIV/0!</v>
      </c>
      <c r="J269" s="17" t="e">
        <f t="shared" si="35"/>
        <v>#DIV/0!</v>
      </c>
      <c r="K269" s="17" t="e">
        <f t="shared" si="36"/>
        <v>#DIV/0!</v>
      </c>
      <c r="L269" s="17" t="e">
        <f t="shared" si="37"/>
        <v>#DIV/0!</v>
      </c>
      <c r="M269" s="17" t="e">
        <f t="shared" si="38"/>
        <v>#DIV/0!</v>
      </c>
      <c r="N269" s="17" t="e">
        <f t="shared" si="39"/>
        <v>#DIV/0!</v>
      </c>
      <c r="O269" s="17" t="e">
        <f t="shared" si="40"/>
        <v>#DIV/0!</v>
      </c>
    </row>
    <row r="270" spans="4:15" x14ac:dyDescent="0.3">
      <c r="D270" s="17">
        <f>TL!D290</f>
        <v>0</v>
      </c>
      <c r="E270" s="17">
        <f>TL!C290</f>
        <v>0</v>
      </c>
      <c r="F270" s="17" t="e">
        <f t="shared" si="31"/>
        <v>#DIV/0!</v>
      </c>
      <c r="G270" s="17" t="e">
        <f t="shared" si="32"/>
        <v>#DIV/0!</v>
      </c>
      <c r="H270" s="17" t="e">
        <f t="shared" si="33"/>
        <v>#DIV/0!</v>
      </c>
      <c r="I270" s="17" t="e">
        <f t="shared" si="34"/>
        <v>#DIV/0!</v>
      </c>
      <c r="J270" s="17" t="e">
        <f t="shared" si="35"/>
        <v>#DIV/0!</v>
      </c>
      <c r="K270" s="17" t="e">
        <f t="shared" si="36"/>
        <v>#DIV/0!</v>
      </c>
      <c r="L270" s="17" t="e">
        <f t="shared" si="37"/>
        <v>#DIV/0!</v>
      </c>
      <c r="M270" s="17" t="e">
        <f t="shared" si="38"/>
        <v>#DIV/0!</v>
      </c>
      <c r="N270" s="17" t="e">
        <f t="shared" si="39"/>
        <v>#DIV/0!</v>
      </c>
      <c r="O270" s="17" t="e">
        <f t="shared" si="40"/>
        <v>#DIV/0!</v>
      </c>
    </row>
    <row r="271" spans="4:15" x14ac:dyDescent="0.3">
      <c r="D271" s="17">
        <f>TL!D291</f>
        <v>0</v>
      </c>
      <c r="E271" s="17">
        <f>TL!C291</f>
        <v>0</v>
      </c>
      <c r="F271" s="17" t="e">
        <f t="shared" si="31"/>
        <v>#DIV/0!</v>
      </c>
      <c r="G271" s="17" t="e">
        <f t="shared" si="32"/>
        <v>#DIV/0!</v>
      </c>
      <c r="H271" s="17" t="e">
        <f t="shared" si="33"/>
        <v>#DIV/0!</v>
      </c>
      <c r="I271" s="17" t="e">
        <f t="shared" si="34"/>
        <v>#DIV/0!</v>
      </c>
      <c r="J271" s="17" t="e">
        <f t="shared" si="35"/>
        <v>#DIV/0!</v>
      </c>
      <c r="K271" s="17" t="e">
        <f t="shared" si="36"/>
        <v>#DIV/0!</v>
      </c>
      <c r="L271" s="17" t="e">
        <f t="shared" si="37"/>
        <v>#DIV/0!</v>
      </c>
      <c r="M271" s="17" t="e">
        <f t="shared" si="38"/>
        <v>#DIV/0!</v>
      </c>
      <c r="N271" s="17" t="e">
        <f t="shared" si="39"/>
        <v>#DIV/0!</v>
      </c>
      <c r="O271" s="17" t="e">
        <f t="shared" si="40"/>
        <v>#DIV/0!</v>
      </c>
    </row>
    <row r="272" spans="4:15" x14ac:dyDescent="0.3">
      <c r="D272" s="17">
        <f>TL!D292</f>
        <v>0</v>
      </c>
      <c r="E272" s="17">
        <f>TL!C292</f>
        <v>0</v>
      </c>
      <c r="F272" s="17" t="e">
        <f t="shared" ref="F272:F335" si="41">$C$8*D272^2/$F$9*EXP(-$F$9/($C$8*D272))*(1-2*$C$8*D272/$F$9)</f>
        <v>#DIV/0!</v>
      </c>
      <c r="G272" s="17" t="e">
        <f t="shared" ref="G272:G335" si="42">$C$8*D272^2/$G$9*EXP(-$G$9/($C$8*D272))*(1-2*$C$8*D272/$G$9)</f>
        <v>#DIV/0!</v>
      </c>
      <c r="H272" s="17" t="e">
        <f t="shared" ref="H272:H335" si="43">$C$8*D272^2/$H$9*EXP(-$H$9/($C$8*D272))*(1-2*$C$8*D272/$H$9)</f>
        <v>#DIV/0!</v>
      </c>
      <c r="I272" s="17" t="e">
        <f t="shared" ref="I272:I335" si="44">$C$8*D272^2/$I$9*EXP(-$I$9/($C$8*D272))*(1-2*$C$8*D272/$I$9)</f>
        <v>#DIV/0!</v>
      </c>
      <c r="J272" s="17" t="e">
        <f t="shared" ref="J272:J335" si="45">$C$8*D272^2/$J$9*EXP(-$J$9/($C$8*D272))*(1-2*$C$8*D272/$J$9)</f>
        <v>#DIV/0!</v>
      </c>
      <c r="K272" s="17" t="e">
        <f t="shared" ref="K272:K335" si="46">$C$8*D272^2/$K$9*EXP(-$K$9/($C$8*D272))*(1-2*$C$8*D272/$K$9)</f>
        <v>#DIV/0!</v>
      </c>
      <c r="L272" s="17" t="e">
        <f t="shared" ref="L272:L335" si="47">$C$8*D272^2/$L$9*EXP(-$L$9/($C$8*D272))*(1-2*$C$8*D272/$L$9)</f>
        <v>#DIV/0!</v>
      </c>
      <c r="M272" s="17" t="e">
        <f t="shared" ref="M272:M335" si="48">$C$8*D272^2/$M$9*EXP(-$M$9/($C$8*D272))*(1-2*$C$8*D272/$M$9)</f>
        <v>#DIV/0!</v>
      </c>
      <c r="N272" s="17" t="e">
        <f t="shared" ref="N272:N335" si="49">$C$8*D272^2/$N$9*EXP(-$N$9/($C$8*D272))*(1-2*$C$8*D272/$N$9)</f>
        <v>#DIV/0!</v>
      </c>
      <c r="O272" s="17" t="e">
        <f t="shared" ref="O272:O335" si="50">$C$8*D272^2/$O$9*EXP(-$O$9/($C$8*D272))*(1-2*$C$8*D272/$O$9)</f>
        <v>#DIV/0!</v>
      </c>
    </row>
    <row r="273" spans="4:15" x14ac:dyDescent="0.3">
      <c r="D273" s="17">
        <f>TL!D293</f>
        <v>0</v>
      </c>
      <c r="E273" s="17">
        <f>TL!C293</f>
        <v>0</v>
      </c>
      <c r="F273" s="17" t="e">
        <f t="shared" si="41"/>
        <v>#DIV/0!</v>
      </c>
      <c r="G273" s="17" t="e">
        <f t="shared" si="42"/>
        <v>#DIV/0!</v>
      </c>
      <c r="H273" s="17" t="e">
        <f t="shared" si="43"/>
        <v>#DIV/0!</v>
      </c>
      <c r="I273" s="17" t="e">
        <f t="shared" si="44"/>
        <v>#DIV/0!</v>
      </c>
      <c r="J273" s="17" t="e">
        <f t="shared" si="45"/>
        <v>#DIV/0!</v>
      </c>
      <c r="K273" s="17" t="e">
        <f t="shared" si="46"/>
        <v>#DIV/0!</v>
      </c>
      <c r="L273" s="17" t="e">
        <f t="shared" si="47"/>
        <v>#DIV/0!</v>
      </c>
      <c r="M273" s="17" t="e">
        <f t="shared" si="48"/>
        <v>#DIV/0!</v>
      </c>
      <c r="N273" s="17" t="e">
        <f t="shared" si="49"/>
        <v>#DIV/0!</v>
      </c>
      <c r="O273" s="17" t="e">
        <f t="shared" si="50"/>
        <v>#DIV/0!</v>
      </c>
    </row>
    <row r="274" spans="4:15" x14ac:dyDescent="0.3">
      <c r="D274" s="17">
        <f>TL!D294</f>
        <v>0</v>
      </c>
      <c r="E274" s="17">
        <f>TL!C294</f>
        <v>0</v>
      </c>
      <c r="F274" s="17" t="e">
        <f t="shared" si="41"/>
        <v>#DIV/0!</v>
      </c>
      <c r="G274" s="17" t="e">
        <f t="shared" si="42"/>
        <v>#DIV/0!</v>
      </c>
      <c r="H274" s="17" t="e">
        <f t="shared" si="43"/>
        <v>#DIV/0!</v>
      </c>
      <c r="I274" s="17" t="e">
        <f t="shared" si="44"/>
        <v>#DIV/0!</v>
      </c>
      <c r="J274" s="17" t="e">
        <f t="shared" si="45"/>
        <v>#DIV/0!</v>
      </c>
      <c r="K274" s="17" t="e">
        <f t="shared" si="46"/>
        <v>#DIV/0!</v>
      </c>
      <c r="L274" s="17" t="e">
        <f t="shared" si="47"/>
        <v>#DIV/0!</v>
      </c>
      <c r="M274" s="17" t="e">
        <f t="shared" si="48"/>
        <v>#DIV/0!</v>
      </c>
      <c r="N274" s="17" t="e">
        <f t="shared" si="49"/>
        <v>#DIV/0!</v>
      </c>
      <c r="O274" s="17" t="e">
        <f t="shared" si="50"/>
        <v>#DIV/0!</v>
      </c>
    </row>
    <row r="275" spans="4:15" x14ac:dyDescent="0.3">
      <c r="D275" s="17">
        <f>TL!D295</f>
        <v>0</v>
      </c>
      <c r="E275" s="17">
        <f>TL!C295</f>
        <v>0</v>
      </c>
      <c r="F275" s="17" t="e">
        <f t="shared" si="41"/>
        <v>#DIV/0!</v>
      </c>
      <c r="G275" s="17" t="e">
        <f t="shared" si="42"/>
        <v>#DIV/0!</v>
      </c>
      <c r="H275" s="17" t="e">
        <f t="shared" si="43"/>
        <v>#DIV/0!</v>
      </c>
      <c r="I275" s="17" t="e">
        <f t="shared" si="44"/>
        <v>#DIV/0!</v>
      </c>
      <c r="J275" s="17" t="e">
        <f t="shared" si="45"/>
        <v>#DIV/0!</v>
      </c>
      <c r="K275" s="17" t="e">
        <f t="shared" si="46"/>
        <v>#DIV/0!</v>
      </c>
      <c r="L275" s="17" t="e">
        <f t="shared" si="47"/>
        <v>#DIV/0!</v>
      </c>
      <c r="M275" s="17" t="e">
        <f t="shared" si="48"/>
        <v>#DIV/0!</v>
      </c>
      <c r="N275" s="17" t="e">
        <f t="shared" si="49"/>
        <v>#DIV/0!</v>
      </c>
      <c r="O275" s="17" t="e">
        <f t="shared" si="50"/>
        <v>#DIV/0!</v>
      </c>
    </row>
    <row r="276" spans="4:15" x14ac:dyDescent="0.3">
      <c r="D276" s="17">
        <f>TL!D296</f>
        <v>0</v>
      </c>
      <c r="E276" s="17">
        <f>TL!C296</f>
        <v>0</v>
      </c>
      <c r="F276" s="17" t="e">
        <f t="shared" si="41"/>
        <v>#DIV/0!</v>
      </c>
      <c r="G276" s="17" t="e">
        <f t="shared" si="42"/>
        <v>#DIV/0!</v>
      </c>
      <c r="H276" s="17" t="e">
        <f t="shared" si="43"/>
        <v>#DIV/0!</v>
      </c>
      <c r="I276" s="17" t="e">
        <f t="shared" si="44"/>
        <v>#DIV/0!</v>
      </c>
      <c r="J276" s="17" t="e">
        <f t="shared" si="45"/>
        <v>#DIV/0!</v>
      </c>
      <c r="K276" s="17" t="e">
        <f t="shared" si="46"/>
        <v>#DIV/0!</v>
      </c>
      <c r="L276" s="17" t="e">
        <f t="shared" si="47"/>
        <v>#DIV/0!</v>
      </c>
      <c r="M276" s="17" t="e">
        <f t="shared" si="48"/>
        <v>#DIV/0!</v>
      </c>
      <c r="N276" s="17" t="e">
        <f t="shared" si="49"/>
        <v>#DIV/0!</v>
      </c>
      <c r="O276" s="17" t="e">
        <f t="shared" si="50"/>
        <v>#DIV/0!</v>
      </c>
    </row>
    <row r="277" spans="4:15" x14ac:dyDescent="0.3">
      <c r="D277" s="17">
        <f>TL!D297</f>
        <v>0</v>
      </c>
      <c r="E277" s="17">
        <f>TL!C297</f>
        <v>0</v>
      </c>
      <c r="F277" s="17" t="e">
        <f t="shared" si="41"/>
        <v>#DIV/0!</v>
      </c>
      <c r="G277" s="17" t="e">
        <f t="shared" si="42"/>
        <v>#DIV/0!</v>
      </c>
      <c r="H277" s="17" t="e">
        <f t="shared" si="43"/>
        <v>#DIV/0!</v>
      </c>
      <c r="I277" s="17" t="e">
        <f t="shared" si="44"/>
        <v>#DIV/0!</v>
      </c>
      <c r="J277" s="17" t="e">
        <f t="shared" si="45"/>
        <v>#DIV/0!</v>
      </c>
      <c r="K277" s="17" t="e">
        <f t="shared" si="46"/>
        <v>#DIV/0!</v>
      </c>
      <c r="L277" s="17" t="e">
        <f t="shared" si="47"/>
        <v>#DIV/0!</v>
      </c>
      <c r="M277" s="17" t="e">
        <f t="shared" si="48"/>
        <v>#DIV/0!</v>
      </c>
      <c r="N277" s="17" t="e">
        <f t="shared" si="49"/>
        <v>#DIV/0!</v>
      </c>
      <c r="O277" s="17" t="e">
        <f t="shared" si="50"/>
        <v>#DIV/0!</v>
      </c>
    </row>
    <row r="278" spans="4:15" x14ac:dyDescent="0.3">
      <c r="D278" s="17">
        <f>TL!D298</f>
        <v>0</v>
      </c>
      <c r="E278" s="17">
        <f>TL!C298</f>
        <v>0</v>
      </c>
      <c r="F278" s="17" t="e">
        <f t="shared" si="41"/>
        <v>#DIV/0!</v>
      </c>
      <c r="G278" s="17" t="e">
        <f t="shared" si="42"/>
        <v>#DIV/0!</v>
      </c>
      <c r="H278" s="17" t="e">
        <f t="shared" si="43"/>
        <v>#DIV/0!</v>
      </c>
      <c r="I278" s="17" t="e">
        <f t="shared" si="44"/>
        <v>#DIV/0!</v>
      </c>
      <c r="J278" s="17" t="e">
        <f t="shared" si="45"/>
        <v>#DIV/0!</v>
      </c>
      <c r="K278" s="17" t="e">
        <f t="shared" si="46"/>
        <v>#DIV/0!</v>
      </c>
      <c r="L278" s="17" t="e">
        <f t="shared" si="47"/>
        <v>#DIV/0!</v>
      </c>
      <c r="M278" s="17" t="e">
        <f t="shared" si="48"/>
        <v>#DIV/0!</v>
      </c>
      <c r="N278" s="17" t="e">
        <f t="shared" si="49"/>
        <v>#DIV/0!</v>
      </c>
      <c r="O278" s="17" t="e">
        <f t="shared" si="50"/>
        <v>#DIV/0!</v>
      </c>
    </row>
    <row r="279" spans="4:15" x14ac:dyDescent="0.3">
      <c r="D279" s="17">
        <f>TL!D299</f>
        <v>0</v>
      </c>
      <c r="E279" s="17">
        <f>TL!C299</f>
        <v>0</v>
      </c>
      <c r="F279" s="17" t="e">
        <f t="shared" si="41"/>
        <v>#DIV/0!</v>
      </c>
      <c r="G279" s="17" t="e">
        <f t="shared" si="42"/>
        <v>#DIV/0!</v>
      </c>
      <c r="H279" s="17" t="e">
        <f t="shared" si="43"/>
        <v>#DIV/0!</v>
      </c>
      <c r="I279" s="17" t="e">
        <f t="shared" si="44"/>
        <v>#DIV/0!</v>
      </c>
      <c r="J279" s="17" t="e">
        <f t="shared" si="45"/>
        <v>#DIV/0!</v>
      </c>
      <c r="K279" s="17" t="e">
        <f t="shared" si="46"/>
        <v>#DIV/0!</v>
      </c>
      <c r="L279" s="17" t="e">
        <f t="shared" si="47"/>
        <v>#DIV/0!</v>
      </c>
      <c r="M279" s="17" t="e">
        <f t="shared" si="48"/>
        <v>#DIV/0!</v>
      </c>
      <c r="N279" s="17" t="e">
        <f t="shared" si="49"/>
        <v>#DIV/0!</v>
      </c>
      <c r="O279" s="17" t="e">
        <f t="shared" si="50"/>
        <v>#DIV/0!</v>
      </c>
    </row>
    <row r="280" spans="4:15" x14ac:dyDescent="0.3">
      <c r="D280" s="17">
        <f>TL!D300</f>
        <v>0</v>
      </c>
      <c r="E280" s="17">
        <f>TL!C300</f>
        <v>0</v>
      </c>
      <c r="F280" s="17" t="e">
        <f t="shared" si="41"/>
        <v>#DIV/0!</v>
      </c>
      <c r="G280" s="17" t="e">
        <f t="shared" si="42"/>
        <v>#DIV/0!</v>
      </c>
      <c r="H280" s="17" t="e">
        <f t="shared" si="43"/>
        <v>#DIV/0!</v>
      </c>
      <c r="I280" s="17" t="e">
        <f t="shared" si="44"/>
        <v>#DIV/0!</v>
      </c>
      <c r="J280" s="17" t="e">
        <f t="shared" si="45"/>
        <v>#DIV/0!</v>
      </c>
      <c r="K280" s="17" t="e">
        <f t="shared" si="46"/>
        <v>#DIV/0!</v>
      </c>
      <c r="L280" s="17" t="e">
        <f t="shared" si="47"/>
        <v>#DIV/0!</v>
      </c>
      <c r="M280" s="17" t="e">
        <f t="shared" si="48"/>
        <v>#DIV/0!</v>
      </c>
      <c r="N280" s="17" t="e">
        <f t="shared" si="49"/>
        <v>#DIV/0!</v>
      </c>
      <c r="O280" s="17" t="e">
        <f t="shared" si="50"/>
        <v>#DIV/0!</v>
      </c>
    </row>
    <row r="281" spans="4:15" x14ac:dyDescent="0.3">
      <c r="D281" s="17">
        <f>TL!D301</f>
        <v>0</v>
      </c>
      <c r="E281" s="17">
        <f>TL!C301</f>
        <v>0</v>
      </c>
      <c r="F281" s="17" t="e">
        <f t="shared" si="41"/>
        <v>#DIV/0!</v>
      </c>
      <c r="G281" s="17" t="e">
        <f t="shared" si="42"/>
        <v>#DIV/0!</v>
      </c>
      <c r="H281" s="17" t="e">
        <f t="shared" si="43"/>
        <v>#DIV/0!</v>
      </c>
      <c r="I281" s="17" t="e">
        <f t="shared" si="44"/>
        <v>#DIV/0!</v>
      </c>
      <c r="J281" s="17" t="e">
        <f t="shared" si="45"/>
        <v>#DIV/0!</v>
      </c>
      <c r="K281" s="17" t="e">
        <f t="shared" si="46"/>
        <v>#DIV/0!</v>
      </c>
      <c r="L281" s="17" t="e">
        <f t="shared" si="47"/>
        <v>#DIV/0!</v>
      </c>
      <c r="M281" s="17" t="e">
        <f t="shared" si="48"/>
        <v>#DIV/0!</v>
      </c>
      <c r="N281" s="17" t="e">
        <f t="shared" si="49"/>
        <v>#DIV/0!</v>
      </c>
      <c r="O281" s="17" t="e">
        <f t="shared" si="50"/>
        <v>#DIV/0!</v>
      </c>
    </row>
    <row r="282" spans="4:15" x14ac:dyDescent="0.3">
      <c r="D282" s="17">
        <f>TL!D302</f>
        <v>0</v>
      </c>
      <c r="E282" s="17">
        <f>TL!C302</f>
        <v>0</v>
      </c>
      <c r="F282" s="17" t="e">
        <f t="shared" si="41"/>
        <v>#DIV/0!</v>
      </c>
      <c r="G282" s="17" t="e">
        <f t="shared" si="42"/>
        <v>#DIV/0!</v>
      </c>
      <c r="H282" s="17" t="e">
        <f t="shared" si="43"/>
        <v>#DIV/0!</v>
      </c>
      <c r="I282" s="17" t="e">
        <f t="shared" si="44"/>
        <v>#DIV/0!</v>
      </c>
      <c r="J282" s="17" t="e">
        <f t="shared" si="45"/>
        <v>#DIV/0!</v>
      </c>
      <c r="K282" s="17" t="e">
        <f t="shared" si="46"/>
        <v>#DIV/0!</v>
      </c>
      <c r="L282" s="17" t="e">
        <f t="shared" si="47"/>
        <v>#DIV/0!</v>
      </c>
      <c r="M282" s="17" t="e">
        <f t="shared" si="48"/>
        <v>#DIV/0!</v>
      </c>
      <c r="N282" s="17" t="e">
        <f t="shared" si="49"/>
        <v>#DIV/0!</v>
      </c>
      <c r="O282" s="17" t="e">
        <f t="shared" si="50"/>
        <v>#DIV/0!</v>
      </c>
    </row>
    <row r="283" spans="4:15" x14ac:dyDescent="0.3">
      <c r="D283" s="17">
        <f>TL!D303</f>
        <v>0</v>
      </c>
      <c r="E283" s="17">
        <f>TL!C303</f>
        <v>0</v>
      </c>
      <c r="F283" s="17" t="e">
        <f t="shared" si="41"/>
        <v>#DIV/0!</v>
      </c>
      <c r="G283" s="17" t="e">
        <f t="shared" si="42"/>
        <v>#DIV/0!</v>
      </c>
      <c r="H283" s="17" t="e">
        <f t="shared" si="43"/>
        <v>#DIV/0!</v>
      </c>
      <c r="I283" s="17" t="e">
        <f t="shared" si="44"/>
        <v>#DIV/0!</v>
      </c>
      <c r="J283" s="17" t="e">
        <f t="shared" si="45"/>
        <v>#DIV/0!</v>
      </c>
      <c r="K283" s="17" t="e">
        <f t="shared" si="46"/>
        <v>#DIV/0!</v>
      </c>
      <c r="L283" s="17" t="e">
        <f t="shared" si="47"/>
        <v>#DIV/0!</v>
      </c>
      <c r="M283" s="17" t="e">
        <f t="shared" si="48"/>
        <v>#DIV/0!</v>
      </c>
      <c r="N283" s="17" t="e">
        <f t="shared" si="49"/>
        <v>#DIV/0!</v>
      </c>
      <c r="O283" s="17" t="e">
        <f t="shared" si="50"/>
        <v>#DIV/0!</v>
      </c>
    </row>
    <row r="284" spans="4:15" x14ac:dyDescent="0.3">
      <c r="D284" s="17">
        <f>TL!D304</f>
        <v>0</v>
      </c>
      <c r="E284" s="17">
        <f>TL!C304</f>
        <v>0</v>
      </c>
      <c r="F284" s="17" t="e">
        <f t="shared" si="41"/>
        <v>#DIV/0!</v>
      </c>
      <c r="G284" s="17" t="e">
        <f t="shared" si="42"/>
        <v>#DIV/0!</v>
      </c>
      <c r="H284" s="17" t="e">
        <f t="shared" si="43"/>
        <v>#DIV/0!</v>
      </c>
      <c r="I284" s="17" t="e">
        <f t="shared" si="44"/>
        <v>#DIV/0!</v>
      </c>
      <c r="J284" s="17" t="e">
        <f t="shared" si="45"/>
        <v>#DIV/0!</v>
      </c>
      <c r="K284" s="17" t="e">
        <f t="shared" si="46"/>
        <v>#DIV/0!</v>
      </c>
      <c r="L284" s="17" t="e">
        <f t="shared" si="47"/>
        <v>#DIV/0!</v>
      </c>
      <c r="M284" s="17" t="e">
        <f t="shared" si="48"/>
        <v>#DIV/0!</v>
      </c>
      <c r="N284" s="17" t="e">
        <f t="shared" si="49"/>
        <v>#DIV/0!</v>
      </c>
      <c r="O284" s="17" t="e">
        <f t="shared" si="50"/>
        <v>#DIV/0!</v>
      </c>
    </row>
    <row r="285" spans="4:15" x14ac:dyDescent="0.3">
      <c r="D285" s="17">
        <f>TL!D305</f>
        <v>0</v>
      </c>
      <c r="E285" s="17">
        <f>TL!C305</f>
        <v>0</v>
      </c>
      <c r="F285" s="17" t="e">
        <f t="shared" si="41"/>
        <v>#DIV/0!</v>
      </c>
      <c r="G285" s="17" t="e">
        <f t="shared" si="42"/>
        <v>#DIV/0!</v>
      </c>
      <c r="H285" s="17" t="e">
        <f t="shared" si="43"/>
        <v>#DIV/0!</v>
      </c>
      <c r="I285" s="17" t="e">
        <f t="shared" si="44"/>
        <v>#DIV/0!</v>
      </c>
      <c r="J285" s="17" t="e">
        <f t="shared" si="45"/>
        <v>#DIV/0!</v>
      </c>
      <c r="K285" s="17" t="e">
        <f t="shared" si="46"/>
        <v>#DIV/0!</v>
      </c>
      <c r="L285" s="17" t="e">
        <f t="shared" si="47"/>
        <v>#DIV/0!</v>
      </c>
      <c r="M285" s="17" t="e">
        <f t="shared" si="48"/>
        <v>#DIV/0!</v>
      </c>
      <c r="N285" s="17" t="e">
        <f t="shared" si="49"/>
        <v>#DIV/0!</v>
      </c>
      <c r="O285" s="17" t="e">
        <f t="shared" si="50"/>
        <v>#DIV/0!</v>
      </c>
    </row>
    <row r="286" spans="4:15" x14ac:dyDescent="0.3">
      <c r="D286" s="17">
        <f>TL!D306</f>
        <v>0</v>
      </c>
      <c r="E286" s="17">
        <f>TL!C306</f>
        <v>0</v>
      </c>
      <c r="F286" s="17" t="e">
        <f t="shared" si="41"/>
        <v>#DIV/0!</v>
      </c>
      <c r="G286" s="17" t="e">
        <f t="shared" si="42"/>
        <v>#DIV/0!</v>
      </c>
      <c r="H286" s="17" t="e">
        <f t="shared" si="43"/>
        <v>#DIV/0!</v>
      </c>
      <c r="I286" s="17" t="e">
        <f t="shared" si="44"/>
        <v>#DIV/0!</v>
      </c>
      <c r="J286" s="17" t="e">
        <f t="shared" si="45"/>
        <v>#DIV/0!</v>
      </c>
      <c r="K286" s="17" t="e">
        <f t="shared" si="46"/>
        <v>#DIV/0!</v>
      </c>
      <c r="L286" s="17" t="e">
        <f t="shared" si="47"/>
        <v>#DIV/0!</v>
      </c>
      <c r="M286" s="17" t="e">
        <f t="shared" si="48"/>
        <v>#DIV/0!</v>
      </c>
      <c r="N286" s="17" t="e">
        <f t="shared" si="49"/>
        <v>#DIV/0!</v>
      </c>
      <c r="O286" s="17" t="e">
        <f t="shared" si="50"/>
        <v>#DIV/0!</v>
      </c>
    </row>
    <row r="287" spans="4:15" x14ac:dyDescent="0.3">
      <c r="D287" s="17">
        <f>TL!D307</f>
        <v>0</v>
      </c>
      <c r="E287" s="17">
        <f>TL!C307</f>
        <v>0</v>
      </c>
      <c r="F287" s="17" t="e">
        <f t="shared" si="41"/>
        <v>#DIV/0!</v>
      </c>
      <c r="G287" s="17" t="e">
        <f t="shared" si="42"/>
        <v>#DIV/0!</v>
      </c>
      <c r="H287" s="17" t="e">
        <f t="shared" si="43"/>
        <v>#DIV/0!</v>
      </c>
      <c r="I287" s="17" t="e">
        <f t="shared" si="44"/>
        <v>#DIV/0!</v>
      </c>
      <c r="J287" s="17" t="e">
        <f t="shared" si="45"/>
        <v>#DIV/0!</v>
      </c>
      <c r="K287" s="17" t="e">
        <f t="shared" si="46"/>
        <v>#DIV/0!</v>
      </c>
      <c r="L287" s="17" t="e">
        <f t="shared" si="47"/>
        <v>#DIV/0!</v>
      </c>
      <c r="M287" s="17" t="e">
        <f t="shared" si="48"/>
        <v>#DIV/0!</v>
      </c>
      <c r="N287" s="17" t="e">
        <f t="shared" si="49"/>
        <v>#DIV/0!</v>
      </c>
      <c r="O287" s="17" t="e">
        <f t="shared" si="50"/>
        <v>#DIV/0!</v>
      </c>
    </row>
    <row r="288" spans="4:15" x14ac:dyDescent="0.3">
      <c r="D288" s="17">
        <f>TL!D308</f>
        <v>0</v>
      </c>
      <c r="E288" s="17">
        <f>TL!C308</f>
        <v>0</v>
      </c>
      <c r="F288" s="17" t="e">
        <f t="shared" si="41"/>
        <v>#DIV/0!</v>
      </c>
      <c r="G288" s="17" t="e">
        <f t="shared" si="42"/>
        <v>#DIV/0!</v>
      </c>
      <c r="H288" s="17" t="e">
        <f t="shared" si="43"/>
        <v>#DIV/0!</v>
      </c>
      <c r="I288" s="17" t="e">
        <f t="shared" si="44"/>
        <v>#DIV/0!</v>
      </c>
      <c r="J288" s="17" t="e">
        <f t="shared" si="45"/>
        <v>#DIV/0!</v>
      </c>
      <c r="K288" s="17" t="e">
        <f t="shared" si="46"/>
        <v>#DIV/0!</v>
      </c>
      <c r="L288" s="17" t="e">
        <f t="shared" si="47"/>
        <v>#DIV/0!</v>
      </c>
      <c r="M288" s="17" t="e">
        <f t="shared" si="48"/>
        <v>#DIV/0!</v>
      </c>
      <c r="N288" s="17" t="e">
        <f t="shared" si="49"/>
        <v>#DIV/0!</v>
      </c>
      <c r="O288" s="17" t="e">
        <f t="shared" si="50"/>
        <v>#DIV/0!</v>
      </c>
    </row>
    <row r="289" spans="4:15" x14ac:dyDescent="0.3">
      <c r="D289" s="17">
        <f>TL!D309</f>
        <v>0</v>
      </c>
      <c r="E289" s="17">
        <f>TL!C309</f>
        <v>0</v>
      </c>
      <c r="F289" s="17" t="e">
        <f t="shared" si="41"/>
        <v>#DIV/0!</v>
      </c>
      <c r="G289" s="17" t="e">
        <f t="shared" si="42"/>
        <v>#DIV/0!</v>
      </c>
      <c r="H289" s="17" t="e">
        <f t="shared" si="43"/>
        <v>#DIV/0!</v>
      </c>
      <c r="I289" s="17" t="e">
        <f t="shared" si="44"/>
        <v>#DIV/0!</v>
      </c>
      <c r="J289" s="17" t="e">
        <f t="shared" si="45"/>
        <v>#DIV/0!</v>
      </c>
      <c r="K289" s="17" t="e">
        <f t="shared" si="46"/>
        <v>#DIV/0!</v>
      </c>
      <c r="L289" s="17" t="e">
        <f t="shared" si="47"/>
        <v>#DIV/0!</v>
      </c>
      <c r="M289" s="17" t="e">
        <f t="shared" si="48"/>
        <v>#DIV/0!</v>
      </c>
      <c r="N289" s="17" t="e">
        <f t="shared" si="49"/>
        <v>#DIV/0!</v>
      </c>
      <c r="O289" s="17" t="e">
        <f t="shared" si="50"/>
        <v>#DIV/0!</v>
      </c>
    </row>
    <row r="290" spans="4:15" x14ac:dyDescent="0.3">
      <c r="D290" s="17">
        <f>TL!D310</f>
        <v>0</v>
      </c>
      <c r="E290" s="17">
        <f>TL!C310</f>
        <v>0</v>
      </c>
      <c r="F290" s="17" t="e">
        <f t="shared" si="41"/>
        <v>#DIV/0!</v>
      </c>
      <c r="G290" s="17" t="e">
        <f t="shared" si="42"/>
        <v>#DIV/0!</v>
      </c>
      <c r="H290" s="17" t="e">
        <f t="shared" si="43"/>
        <v>#DIV/0!</v>
      </c>
      <c r="I290" s="17" t="e">
        <f t="shared" si="44"/>
        <v>#DIV/0!</v>
      </c>
      <c r="J290" s="17" t="e">
        <f t="shared" si="45"/>
        <v>#DIV/0!</v>
      </c>
      <c r="K290" s="17" t="e">
        <f t="shared" si="46"/>
        <v>#DIV/0!</v>
      </c>
      <c r="L290" s="17" t="e">
        <f t="shared" si="47"/>
        <v>#DIV/0!</v>
      </c>
      <c r="M290" s="17" t="e">
        <f t="shared" si="48"/>
        <v>#DIV/0!</v>
      </c>
      <c r="N290" s="17" t="e">
        <f t="shared" si="49"/>
        <v>#DIV/0!</v>
      </c>
      <c r="O290" s="17" t="e">
        <f t="shared" si="50"/>
        <v>#DIV/0!</v>
      </c>
    </row>
    <row r="291" spans="4:15" x14ac:dyDescent="0.3">
      <c r="D291" s="17">
        <f>TL!D311</f>
        <v>0</v>
      </c>
      <c r="E291" s="17">
        <f>TL!C311</f>
        <v>0</v>
      </c>
      <c r="F291" s="17" t="e">
        <f t="shared" si="41"/>
        <v>#DIV/0!</v>
      </c>
      <c r="G291" s="17" t="e">
        <f t="shared" si="42"/>
        <v>#DIV/0!</v>
      </c>
      <c r="H291" s="17" t="e">
        <f t="shared" si="43"/>
        <v>#DIV/0!</v>
      </c>
      <c r="I291" s="17" t="e">
        <f t="shared" si="44"/>
        <v>#DIV/0!</v>
      </c>
      <c r="J291" s="17" t="e">
        <f t="shared" si="45"/>
        <v>#DIV/0!</v>
      </c>
      <c r="K291" s="17" t="e">
        <f t="shared" si="46"/>
        <v>#DIV/0!</v>
      </c>
      <c r="L291" s="17" t="e">
        <f t="shared" si="47"/>
        <v>#DIV/0!</v>
      </c>
      <c r="M291" s="17" t="e">
        <f t="shared" si="48"/>
        <v>#DIV/0!</v>
      </c>
      <c r="N291" s="17" t="e">
        <f t="shared" si="49"/>
        <v>#DIV/0!</v>
      </c>
      <c r="O291" s="17" t="e">
        <f t="shared" si="50"/>
        <v>#DIV/0!</v>
      </c>
    </row>
    <row r="292" spans="4:15" x14ac:dyDescent="0.3">
      <c r="D292" s="17">
        <f>TL!D312</f>
        <v>0</v>
      </c>
      <c r="E292" s="17">
        <f>TL!C312</f>
        <v>0</v>
      </c>
      <c r="F292" s="17" t="e">
        <f t="shared" si="41"/>
        <v>#DIV/0!</v>
      </c>
      <c r="G292" s="17" t="e">
        <f t="shared" si="42"/>
        <v>#DIV/0!</v>
      </c>
      <c r="H292" s="17" t="e">
        <f t="shared" si="43"/>
        <v>#DIV/0!</v>
      </c>
      <c r="I292" s="17" t="e">
        <f t="shared" si="44"/>
        <v>#DIV/0!</v>
      </c>
      <c r="J292" s="17" t="e">
        <f t="shared" si="45"/>
        <v>#DIV/0!</v>
      </c>
      <c r="K292" s="17" t="e">
        <f t="shared" si="46"/>
        <v>#DIV/0!</v>
      </c>
      <c r="L292" s="17" t="e">
        <f t="shared" si="47"/>
        <v>#DIV/0!</v>
      </c>
      <c r="M292" s="17" t="e">
        <f t="shared" si="48"/>
        <v>#DIV/0!</v>
      </c>
      <c r="N292" s="17" t="e">
        <f t="shared" si="49"/>
        <v>#DIV/0!</v>
      </c>
      <c r="O292" s="17" t="e">
        <f t="shared" si="50"/>
        <v>#DIV/0!</v>
      </c>
    </row>
    <row r="293" spans="4:15" x14ac:dyDescent="0.3">
      <c r="D293" s="17">
        <f>TL!D313</f>
        <v>0</v>
      </c>
      <c r="E293" s="17">
        <f>TL!C313</f>
        <v>0</v>
      </c>
      <c r="F293" s="17" t="e">
        <f t="shared" si="41"/>
        <v>#DIV/0!</v>
      </c>
      <c r="G293" s="17" t="e">
        <f t="shared" si="42"/>
        <v>#DIV/0!</v>
      </c>
      <c r="H293" s="17" t="e">
        <f t="shared" si="43"/>
        <v>#DIV/0!</v>
      </c>
      <c r="I293" s="17" t="e">
        <f t="shared" si="44"/>
        <v>#DIV/0!</v>
      </c>
      <c r="J293" s="17" t="e">
        <f t="shared" si="45"/>
        <v>#DIV/0!</v>
      </c>
      <c r="K293" s="17" t="e">
        <f t="shared" si="46"/>
        <v>#DIV/0!</v>
      </c>
      <c r="L293" s="17" t="e">
        <f t="shared" si="47"/>
        <v>#DIV/0!</v>
      </c>
      <c r="M293" s="17" t="e">
        <f t="shared" si="48"/>
        <v>#DIV/0!</v>
      </c>
      <c r="N293" s="17" t="e">
        <f t="shared" si="49"/>
        <v>#DIV/0!</v>
      </c>
      <c r="O293" s="17" t="e">
        <f t="shared" si="50"/>
        <v>#DIV/0!</v>
      </c>
    </row>
    <row r="294" spans="4:15" x14ac:dyDescent="0.3">
      <c r="D294" s="17">
        <f>TL!D314</f>
        <v>0</v>
      </c>
      <c r="E294" s="17">
        <f>TL!C314</f>
        <v>0</v>
      </c>
      <c r="F294" s="17" t="e">
        <f t="shared" si="41"/>
        <v>#DIV/0!</v>
      </c>
      <c r="G294" s="17" t="e">
        <f t="shared" si="42"/>
        <v>#DIV/0!</v>
      </c>
      <c r="H294" s="17" t="e">
        <f t="shared" si="43"/>
        <v>#DIV/0!</v>
      </c>
      <c r="I294" s="17" t="e">
        <f t="shared" si="44"/>
        <v>#DIV/0!</v>
      </c>
      <c r="J294" s="17" t="e">
        <f t="shared" si="45"/>
        <v>#DIV/0!</v>
      </c>
      <c r="K294" s="17" t="e">
        <f t="shared" si="46"/>
        <v>#DIV/0!</v>
      </c>
      <c r="L294" s="17" t="e">
        <f t="shared" si="47"/>
        <v>#DIV/0!</v>
      </c>
      <c r="M294" s="17" t="e">
        <f t="shared" si="48"/>
        <v>#DIV/0!</v>
      </c>
      <c r="N294" s="17" t="e">
        <f t="shared" si="49"/>
        <v>#DIV/0!</v>
      </c>
      <c r="O294" s="17" t="e">
        <f t="shared" si="50"/>
        <v>#DIV/0!</v>
      </c>
    </row>
    <row r="295" spans="4:15" x14ac:dyDescent="0.3">
      <c r="D295" s="17">
        <f>TL!D315</f>
        <v>0</v>
      </c>
      <c r="E295" s="17">
        <f>TL!C315</f>
        <v>0</v>
      </c>
      <c r="F295" s="17" t="e">
        <f t="shared" si="41"/>
        <v>#DIV/0!</v>
      </c>
      <c r="G295" s="17" t="e">
        <f t="shared" si="42"/>
        <v>#DIV/0!</v>
      </c>
      <c r="H295" s="17" t="e">
        <f t="shared" si="43"/>
        <v>#DIV/0!</v>
      </c>
      <c r="I295" s="17" t="e">
        <f t="shared" si="44"/>
        <v>#DIV/0!</v>
      </c>
      <c r="J295" s="17" t="e">
        <f t="shared" si="45"/>
        <v>#DIV/0!</v>
      </c>
      <c r="K295" s="17" t="e">
        <f t="shared" si="46"/>
        <v>#DIV/0!</v>
      </c>
      <c r="L295" s="17" t="e">
        <f t="shared" si="47"/>
        <v>#DIV/0!</v>
      </c>
      <c r="M295" s="17" t="e">
        <f t="shared" si="48"/>
        <v>#DIV/0!</v>
      </c>
      <c r="N295" s="17" t="e">
        <f t="shared" si="49"/>
        <v>#DIV/0!</v>
      </c>
      <c r="O295" s="17" t="e">
        <f t="shared" si="50"/>
        <v>#DIV/0!</v>
      </c>
    </row>
    <row r="296" spans="4:15" x14ac:dyDescent="0.3">
      <c r="D296" s="17">
        <f>TL!D316</f>
        <v>0</v>
      </c>
      <c r="E296" s="17">
        <f>TL!C316</f>
        <v>0</v>
      </c>
      <c r="F296" s="17" t="e">
        <f t="shared" si="41"/>
        <v>#DIV/0!</v>
      </c>
      <c r="G296" s="17" t="e">
        <f t="shared" si="42"/>
        <v>#DIV/0!</v>
      </c>
      <c r="H296" s="17" t="e">
        <f t="shared" si="43"/>
        <v>#DIV/0!</v>
      </c>
      <c r="I296" s="17" t="e">
        <f t="shared" si="44"/>
        <v>#DIV/0!</v>
      </c>
      <c r="J296" s="17" t="e">
        <f t="shared" si="45"/>
        <v>#DIV/0!</v>
      </c>
      <c r="K296" s="17" t="e">
        <f t="shared" si="46"/>
        <v>#DIV/0!</v>
      </c>
      <c r="L296" s="17" t="e">
        <f t="shared" si="47"/>
        <v>#DIV/0!</v>
      </c>
      <c r="M296" s="17" t="e">
        <f t="shared" si="48"/>
        <v>#DIV/0!</v>
      </c>
      <c r="N296" s="17" t="e">
        <f t="shared" si="49"/>
        <v>#DIV/0!</v>
      </c>
      <c r="O296" s="17" t="e">
        <f t="shared" si="50"/>
        <v>#DIV/0!</v>
      </c>
    </row>
    <row r="297" spans="4:15" x14ac:dyDescent="0.3">
      <c r="D297" s="17">
        <f>TL!D317</f>
        <v>0</v>
      </c>
      <c r="E297" s="17">
        <f>TL!C317</f>
        <v>0</v>
      </c>
      <c r="F297" s="17" t="e">
        <f t="shared" si="41"/>
        <v>#DIV/0!</v>
      </c>
      <c r="G297" s="17" t="e">
        <f t="shared" si="42"/>
        <v>#DIV/0!</v>
      </c>
      <c r="H297" s="17" t="e">
        <f t="shared" si="43"/>
        <v>#DIV/0!</v>
      </c>
      <c r="I297" s="17" t="e">
        <f t="shared" si="44"/>
        <v>#DIV/0!</v>
      </c>
      <c r="J297" s="17" t="e">
        <f t="shared" si="45"/>
        <v>#DIV/0!</v>
      </c>
      <c r="K297" s="17" t="e">
        <f t="shared" si="46"/>
        <v>#DIV/0!</v>
      </c>
      <c r="L297" s="17" t="e">
        <f t="shared" si="47"/>
        <v>#DIV/0!</v>
      </c>
      <c r="M297" s="17" t="e">
        <f t="shared" si="48"/>
        <v>#DIV/0!</v>
      </c>
      <c r="N297" s="17" t="e">
        <f t="shared" si="49"/>
        <v>#DIV/0!</v>
      </c>
      <c r="O297" s="17" t="e">
        <f t="shared" si="50"/>
        <v>#DIV/0!</v>
      </c>
    </row>
    <row r="298" spans="4:15" x14ac:dyDescent="0.3">
      <c r="D298" s="17">
        <f>TL!D318</f>
        <v>0</v>
      </c>
      <c r="E298" s="17">
        <f>TL!C318</f>
        <v>0</v>
      </c>
      <c r="F298" s="17" t="e">
        <f t="shared" si="41"/>
        <v>#DIV/0!</v>
      </c>
      <c r="G298" s="17" t="e">
        <f t="shared" si="42"/>
        <v>#DIV/0!</v>
      </c>
      <c r="H298" s="17" t="e">
        <f t="shared" si="43"/>
        <v>#DIV/0!</v>
      </c>
      <c r="I298" s="17" t="e">
        <f t="shared" si="44"/>
        <v>#DIV/0!</v>
      </c>
      <c r="J298" s="17" t="e">
        <f t="shared" si="45"/>
        <v>#DIV/0!</v>
      </c>
      <c r="K298" s="17" t="e">
        <f t="shared" si="46"/>
        <v>#DIV/0!</v>
      </c>
      <c r="L298" s="17" t="e">
        <f t="shared" si="47"/>
        <v>#DIV/0!</v>
      </c>
      <c r="M298" s="17" t="e">
        <f t="shared" si="48"/>
        <v>#DIV/0!</v>
      </c>
      <c r="N298" s="17" t="e">
        <f t="shared" si="49"/>
        <v>#DIV/0!</v>
      </c>
      <c r="O298" s="17" t="e">
        <f t="shared" si="50"/>
        <v>#DIV/0!</v>
      </c>
    </row>
    <row r="299" spans="4:15" x14ac:dyDescent="0.3">
      <c r="D299" s="17">
        <f>TL!D319</f>
        <v>0</v>
      </c>
      <c r="E299" s="17">
        <f>TL!C319</f>
        <v>0</v>
      </c>
      <c r="F299" s="17" t="e">
        <f t="shared" si="41"/>
        <v>#DIV/0!</v>
      </c>
      <c r="G299" s="17" t="e">
        <f t="shared" si="42"/>
        <v>#DIV/0!</v>
      </c>
      <c r="H299" s="17" t="e">
        <f t="shared" si="43"/>
        <v>#DIV/0!</v>
      </c>
      <c r="I299" s="17" t="e">
        <f t="shared" si="44"/>
        <v>#DIV/0!</v>
      </c>
      <c r="J299" s="17" t="e">
        <f t="shared" si="45"/>
        <v>#DIV/0!</v>
      </c>
      <c r="K299" s="17" t="e">
        <f t="shared" si="46"/>
        <v>#DIV/0!</v>
      </c>
      <c r="L299" s="17" t="e">
        <f t="shared" si="47"/>
        <v>#DIV/0!</v>
      </c>
      <c r="M299" s="17" t="e">
        <f t="shared" si="48"/>
        <v>#DIV/0!</v>
      </c>
      <c r="N299" s="17" t="e">
        <f t="shared" si="49"/>
        <v>#DIV/0!</v>
      </c>
      <c r="O299" s="17" t="e">
        <f t="shared" si="50"/>
        <v>#DIV/0!</v>
      </c>
    </row>
    <row r="300" spans="4:15" x14ac:dyDescent="0.3">
      <c r="D300" s="17">
        <f>TL!D320</f>
        <v>0</v>
      </c>
      <c r="E300" s="17">
        <f>TL!C320</f>
        <v>0</v>
      </c>
      <c r="F300" s="17" t="e">
        <f t="shared" si="41"/>
        <v>#DIV/0!</v>
      </c>
      <c r="G300" s="17" t="e">
        <f t="shared" si="42"/>
        <v>#DIV/0!</v>
      </c>
      <c r="H300" s="17" t="e">
        <f t="shared" si="43"/>
        <v>#DIV/0!</v>
      </c>
      <c r="I300" s="17" t="e">
        <f t="shared" si="44"/>
        <v>#DIV/0!</v>
      </c>
      <c r="J300" s="17" t="e">
        <f t="shared" si="45"/>
        <v>#DIV/0!</v>
      </c>
      <c r="K300" s="17" t="e">
        <f t="shared" si="46"/>
        <v>#DIV/0!</v>
      </c>
      <c r="L300" s="17" t="e">
        <f t="shared" si="47"/>
        <v>#DIV/0!</v>
      </c>
      <c r="M300" s="17" t="e">
        <f t="shared" si="48"/>
        <v>#DIV/0!</v>
      </c>
      <c r="N300" s="17" t="e">
        <f t="shared" si="49"/>
        <v>#DIV/0!</v>
      </c>
      <c r="O300" s="17" t="e">
        <f t="shared" si="50"/>
        <v>#DIV/0!</v>
      </c>
    </row>
    <row r="301" spans="4:15" x14ac:dyDescent="0.3">
      <c r="D301" s="17">
        <f>TL!D321</f>
        <v>0</v>
      </c>
      <c r="E301" s="17">
        <f>TL!C321</f>
        <v>0</v>
      </c>
      <c r="F301" s="17" t="e">
        <f t="shared" si="41"/>
        <v>#DIV/0!</v>
      </c>
      <c r="G301" s="17" t="e">
        <f t="shared" si="42"/>
        <v>#DIV/0!</v>
      </c>
      <c r="H301" s="17" t="e">
        <f t="shared" si="43"/>
        <v>#DIV/0!</v>
      </c>
      <c r="I301" s="17" t="e">
        <f t="shared" si="44"/>
        <v>#DIV/0!</v>
      </c>
      <c r="J301" s="17" t="e">
        <f t="shared" si="45"/>
        <v>#DIV/0!</v>
      </c>
      <c r="K301" s="17" t="e">
        <f t="shared" si="46"/>
        <v>#DIV/0!</v>
      </c>
      <c r="L301" s="17" t="e">
        <f t="shared" si="47"/>
        <v>#DIV/0!</v>
      </c>
      <c r="M301" s="17" t="e">
        <f t="shared" si="48"/>
        <v>#DIV/0!</v>
      </c>
      <c r="N301" s="17" t="e">
        <f t="shared" si="49"/>
        <v>#DIV/0!</v>
      </c>
      <c r="O301" s="17" t="e">
        <f t="shared" si="50"/>
        <v>#DIV/0!</v>
      </c>
    </row>
    <row r="302" spans="4:15" x14ac:dyDescent="0.3">
      <c r="D302" s="17">
        <f>TL!D322</f>
        <v>0</v>
      </c>
      <c r="E302" s="17">
        <f>TL!C322</f>
        <v>0</v>
      </c>
      <c r="F302" s="17" t="e">
        <f t="shared" si="41"/>
        <v>#DIV/0!</v>
      </c>
      <c r="G302" s="17" t="e">
        <f t="shared" si="42"/>
        <v>#DIV/0!</v>
      </c>
      <c r="H302" s="17" t="e">
        <f t="shared" si="43"/>
        <v>#DIV/0!</v>
      </c>
      <c r="I302" s="17" t="e">
        <f t="shared" si="44"/>
        <v>#DIV/0!</v>
      </c>
      <c r="J302" s="17" t="e">
        <f t="shared" si="45"/>
        <v>#DIV/0!</v>
      </c>
      <c r="K302" s="17" t="e">
        <f t="shared" si="46"/>
        <v>#DIV/0!</v>
      </c>
      <c r="L302" s="17" t="e">
        <f t="shared" si="47"/>
        <v>#DIV/0!</v>
      </c>
      <c r="M302" s="17" t="e">
        <f t="shared" si="48"/>
        <v>#DIV/0!</v>
      </c>
      <c r="N302" s="17" t="e">
        <f t="shared" si="49"/>
        <v>#DIV/0!</v>
      </c>
      <c r="O302" s="17" t="e">
        <f t="shared" si="50"/>
        <v>#DIV/0!</v>
      </c>
    </row>
    <row r="303" spans="4:15" x14ac:dyDescent="0.3">
      <c r="D303" s="17">
        <f>TL!D323</f>
        <v>0</v>
      </c>
      <c r="E303" s="17">
        <f>TL!C323</f>
        <v>0</v>
      </c>
      <c r="F303" s="17" t="e">
        <f t="shared" si="41"/>
        <v>#DIV/0!</v>
      </c>
      <c r="G303" s="17" t="e">
        <f t="shared" si="42"/>
        <v>#DIV/0!</v>
      </c>
      <c r="H303" s="17" t="e">
        <f t="shared" si="43"/>
        <v>#DIV/0!</v>
      </c>
      <c r="I303" s="17" t="e">
        <f t="shared" si="44"/>
        <v>#DIV/0!</v>
      </c>
      <c r="J303" s="17" t="e">
        <f t="shared" si="45"/>
        <v>#DIV/0!</v>
      </c>
      <c r="K303" s="17" t="e">
        <f t="shared" si="46"/>
        <v>#DIV/0!</v>
      </c>
      <c r="L303" s="17" t="e">
        <f t="shared" si="47"/>
        <v>#DIV/0!</v>
      </c>
      <c r="M303" s="17" t="e">
        <f t="shared" si="48"/>
        <v>#DIV/0!</v>
      </c>
      <c r="N303" s="17" t="e">
        <f t="shared" si="49"/>
        <v>#DIV/0!</v>
      </c>
      <c r="O303" s="17" t="e">
        <f t="shared" si="50"/>
        <v>#DIV/0!</v>
      </c>
    </row>
    <row r="304" spans="4:15" x14ac:dyDescent="0.3">
      <c r="D304" s="17">
        <f>TL!D324</f>
        <v>0</v>
      </c>
      <c r="E304" s="17">
        <f>TL!C324</f>
        <v>0</v>
      </c>
      <c r="F304" s="17" t="e">
        <f t="shared" si="41"/>
        <v>#DIV/0!</v>
      </c>
      <c r="G304" s="17" t="e">
        <f t="shared" si="42"/>
        <v>#DIV/0!</v>
      </c>
      <c r="H304" s="17" t="e">
        <f t="shared" si="43"/>
        <v>#DIV/0!</v>
      </c>
      <c r="I304" s="17" t="e">
        <f t="shared" si="44"/>
        <v>#DIV/0!</v>
      </c>
      <c r="J304" s="17" t="e">
        <f t="shared" si="45"/>
        <v>#DIV/0!</v>
      </c>
      <c r="K304" s="17" t="e">
        <f t="shared" si="46"/>
        <v>#DIV/0!</v>
      </c>
      <c r="L304" s="17" t="e">
        <f t="shared" si="47"/>
        <v>#DIV/0!</v>
      </c>
      <c r="M304" s="17" t="e">
        <f t="shared" si="48"/>
        <v>#DIV/0!</v>
      </c>
      <c r="N304" s="17" t="e">
        <f t="shared" si="49"/>
        <v>#DIV/0!</v>
      </c>
      <c r="O304" s="17" t="e">
        <f t="shared" si="50"/>
        <v>#DIV/0!</v>
      </c>
    </row>
    <row r="305" spans="4:15" x14ac:dyDescent="0.3">
      <c r="D305" s="17">
        <f>TL!D325</f>
        <v>0</v>
      </c>
      <c r="E305" s="17">
        <f>TL!C325</f>
        <v>0</v>
      </c>
      <c r="F305" s="17" t="e">
        <f t="shared" si="41"/>
        <v>#DIV/0!</v>
      </c>
      <c r="G305" s="17" t="e">
        <f t="shared" si="42"/>
        <v>#DIV/0!</v>
      </c>
      <c r="H305" s="17" t="e">
        <f t="shared" si="43"/>
        <v>#DIV/0!</v>
      </c>
      <c r="I305" s="17" t="e">
        <f t="shared" si="44"/>
        <v>#DIV/0!</v>
      </c>
      <c r="J305" s="17" t="e">
        <f t="shared" si="45"/>
        <v>#DIV/0!</v>
      </c>
      <c r="K305" s="17" t="e">
        <f t="shared" si="46"/>
        <v>#DIV/0!</v>
      </c>
      <c r="L305" s="17" t="e">
        <f t="shared" si="47"/>
        <v>#DIV/0!</v>
      </c>
      <c r="M305" s="17" t="e">
        <f t="shared" si="48"/>
        <v>#DIV/0!</v>
      </c>
      <c r="N305" s="17" t="e">
        <f t="shared" si="49"/>
        <v>#DIV/0!</v>
      </c>
      <c r="O305" s="17" t="e">
        <f t="shared" si="50"/>
        <v>#DIV/0!</v>
      </c>
    </row>
    <row r="306" spans="4:15" x14ac:dyDescent="0.3">
      <c r="D306" s="17">
        <f>TL!D326</f>
        <v>0</v>
      </c>
      <c r="E306" s="17">
        <f>TL!C326</f>
        <v>0</v>
      </c>
      <c r="F306" s="17" t="e">
        <f t="shared" si="41"/>
        <v>#DIV/0!</v>
      </c>
      <c r="G306" s="17" t="e">
        <f t="shared" si="42"/>
        <v>#DIV/0!</v>
      </c>
      <c r="H306" s="17" t="e">
        <f t="shared" si="43"/>
        <v>#DIV/0!</v>
      </c>
      <c r="I306" s="17" t="e">
        <f t="shared" si="44"/>
        <v>#DIV/0!</v>
      </c>
      <c r="J306" s="17" t="e">
        <f t="shared" si="45"/>
        <v>#DIV/0!</v>
      </c>
      <c r="K306" s="17" t="e">
        <f t="shared" si="46"/>
        <v>#DIV/0!</v>
      </c>
      <c r="L306" s="17" t="e">
        <f t="shared" si="47"/>
        <v>#DIV/0!</v>
      </c>
      <c r="M306" s="17" t="e">
        <f t="shared" si="48"/>
        <v>#DIV/0!</v>
      </c>
      <c r="N306" s="17" t="e">
        <f t="shared" si="49"/>
        <v>#DIV/0!</v>
      </c>
      <c r="O306" s="17" t="e">
        <f t="shared" si="50"/>
        <v>#DIV/0!</v>
      </c>
    </row>
    <row r="307" spans="4:15" x14ac:dyDescent="0.3">
      <c r="D307" s="17">
        <f>TL!D327</f>
        <v>0</v>
      </c>
      <c r="E307" s="17">
        <f>TL!C327</f>
        <v>0</v>
      </c>
      <c r="F307" s="17" t="e">
        <f t="shared" si="41"/>
        <v>#DIV/0!</v>
      </c>
      <c r="G307" s="17" t="e">
        <f t="shared" si="42"/>
        <v>#DIV/0!</v>
      </c>
      <c r="H307" s="17" t="e">
        <f t="shared" si="43"/>
        <v>#DIV/0!</v>
      </c>
      <c r="I307" s="17" t="e">
        <f t="shared" si="44"/>
        <v>#DIV/0!</v>
      </c>
      <c r="J307" s="17" t="e">
        <f t="shared" si="45"/>
        <v>#DIV/0!</v>
      </c>
      <c r="K307" s="17" t="e">
        <f t="shared" si="46"/>
        <v>#DIV/0!</v>
      </c>
      <c r="L307" s="17" t="e">
        <f t="shared" si="47"/>
        <v>#DIV/0!</v>
      </c>
      <c r="M307" s="17" t="e">
        <f t="shared" si="48"/>
        <v>#DIV/0!</v>
      </c>
      <c r="N307" s="17" t="e">
        <f t="shared" si="49"/>
        <v>#DIV/0!</v>
      </c>
      <c r="O307" s="17" t="e">
        <f t="shared" si="50"/>
        <v>#DIV/0!</v>
      </c>
    </row>
    <row r="308" spans="4:15" x14ac:dyDescent="0.3">
      <c r="D308" s="17">
        <f>TL!D328</f>
        <v>0</v>
      </c>
      <c r="E308" s="17">
        <f>TL!C328</f>
        <v>0</v>
      </c>
      <c r="F308" s="17" t="e">
        <f t="shared" si="41"/>
        <v>#DIV/0!</v>
      </c>
      <c r="G308" s="17" t="e">
        <f t="shared" si="42"/>
        <v>#DIV/0!</v>
      </c>
      <c r="H308" s="17" t="e">
        <f t="shared" si="43"/>
        <v>#DIV/0!</v>
      </c>
      <c r="I308" s="17" t="e">
        <f t="shared" si="44"/>
        <v>#DIV/0!</v>
      </c>
      <c r="J308" s="17" t="e">
        <f t="shared" si="45"/>
        <v>#DIV/0!</v>
      </c>
      <c r="K308" s="17" t="e">
        <f t="shared" si="46"/>
        <v>#DIV/0!</v>
      </c>
      <c r="L308" s="17" t="e">
        <f t="shared" si="47"/>
        <v>#DIV/0!</v>
      </c>
      <c r="M308" s="17" t="e">
        <f t="shared" si="48"/>
        <v>#DIV/0!</v>
      </c>
      <c r="N308" s="17" t="e">
        <f t="shared" si="49"/>
        <v>#DIV/0!</v>
      </c>
      <c r="O308" s="17" t="e">
        <f t="shared" si="50"/>
        <v>#DIV/0!</v>
      </c>
    </row>
    <row r="309" spans="4:15" x14ac:dyDescent="0.3">
      <c r="D309" s="17">
        <f>TL!D329</f>
        <v>0</v>
      </c>
      <c r="E309" s="17">
        <f>TL!C329</f>
        <v>0</v>
      </c>
      <c r="F309" s="17" t="e">
        <f t="shared" si="41"/>
        <v>#DIV/0!</v>
      </c>
      <c r="G309" s="17" t="e">
        <f t="shared" si="42"/>
        <v>#DIV/0!</v>
      </c>
      <c r="H309" s="17" t="e">
        <f t="shared" si="43"/>
        <v>#DIV/0!</v>
      </c>
      <c r="I309" s="17" t="e">
        <f t="shared" si="44"/>
        <v>#DIV/0!</v>
      </c>
      <c r="J309" s="17" t="e">
        <f t="shared" si="45"/>
        <v>#DIV/0!</v>
      </c>
      <c r="K309" s="17" t="e">
        <f t="shared" si="46"/>
        <v>#DIV/0!</v>
      </c>
      <c r="L309" s="17" t="e">
        <f t="shared" si="47"/>
        <v>#DIV/0!</v>
      </c>
      <c r="M309" s="17" t="e">
        <f t="shared" si="48"/>
        <v>#DIV/0!</v>
      </c>
      <c r="N309" s="17" t="e">
        <f t="shared" si="49"/>
        <v>#DIV/0!</v>
      </c>
      <c r="O309" s="17" t="e">
        <f t="shared" si="50"/>
        <v>#DIV/0!</v>
      </c>
    </row>
    <row r="310" spans="4:15" x14ac:dyDescent="0.3">
      <c r="D310" s="17">
        <f>TL!D330</f>
        <v>0</v>
      </c>
      <c r="E310" s="17">
        <f>TL!C330</f>
        <v>0</v>
      </c>
      <c r="F310" s="17" t="e">
        <f t="shared" si="41"/>
        <v>#DIV/0!</v>
      </c>
      <c r="G310" s="17" t="e">
        <f t="shared" si="42"/>
        <v>#DIV/0!</v>
      </c>
      <c r="H310" s="17" t="e">
        <f t="shared" si="43"/>
        <v>#DIV/0!</v>
      </c>
      <c r="I310" s="17" t="e">
        <f t="shared" si="44"/>
        <v>#DIV/0!</v>
      </c>
      <c r="J310" s="17" t="e">
        <f t="shared" si="45"/>
        <v>#DIV/0!</v>
      </c>
      <c r="K310" s="17" t="e">
        <f t="shared" si="46"/>
        <v>#DIV/0!</v>
      </c>
      <c r="L310" s="17" t="e">
        <f t="shared" si="47"/>
        <v>#DIV/0!</v>
      </c>
      <c r="M310" s="17" t="e">
        <f t="shared" si="48"/>
        <v>#DIV/0!</v>
      </c>
      <c r="N310" s="17" t="e">
        <f t="shared" si="49"/>
        <v>#DIV/0!</v>
      </c>
      <c r="O310" s="17" t="e">
        <f t="shared" si="50"/>
        <v>#DIV/0!</v>
      </c>
    </row>
    <row r="311" spans="4:15" x14ac:dyDescent="0.3">
      <c r="D311" s="17">
        <f>TL!D331</f>
        <v>0</v>
      </c>
      <c r="E311" s="17">
        <f>TL!C331</f>
        <v>0</v>
      </c>
      <c r="F311" s="17" t="e">
        <f t="shared" si="41"/>
        <v>#DIV/0!</v>
      </c>
      <c r="G311" s="17" t="e">
        <f t="shared" si="42"/>
        <v>#DIV/0!</v>
      </c>
      <c r="H311" s="17" t="e">
        <f t="shared" si="43"/>
        <v>#DIV/0!</v>
      </c>
      <c r="I311" s="17" t="e">
        <f t="shared" si="44"/>
        <v>#DIV/0!</v>
      </c>
      <c r="J311" s="17" t="e">
        <f t="shared" si="45"/>
        <v>#DIV/0!</v>
      </c>
      <c r="K311" s="17" t="e">
        <f t="shared" si="46"/>
        <v>#DIV/0!</v>
      </c>
      <c r="L311" s="17" t="e">
        <f t="shared" si="47"/>
        <v>#DIV/0!</v>
      </c>
      <c r="M311" s="17" t="e">
        <f t="shared" si="48"/>
        <v>#DIV/0!</v>
      </c>
      <c r="N311" s="17" t="e">
        <f t="shared" si="49"/>
        <v>#DIV/0!</v>
      </c>
      <c r="O311" s="17" t="e">
        <f t="shared" si="50"/>
        <v>#DIV/0!</v>
      </c>
    </row>
    <row r="312" spans="4:15" x14ac:dyDescent="0.3">
      <c r="D312" s="17">
        <f>TL!D332</f>
        <v>0</v>
      </c>
      <c r="E312" s="17">
        <f>TL!C332</f>
        <v>0</v>
      </c>
      <c r="F312" s="17" t="e">
        <f t="shared" si="41"/>
        <v>#DIV/0!</v>
      </c>
      <c r="G312" s="17" t="e">
        <f t="shared" si="42"/>
        <v>#DIV/0!</v>
      </c>
      <c r="H312" s="17" t="e">
        <f t="shared" si="43"/>
        <v>#DIV/0!</v>
      </c>
      <c r="I312" s="17" t="e">
        <f t="shared" si="44"/>
        <v>#DIV/0!</v>
      </c>
      <c r="J312" s="17" t="e">
        <f t="shared" si="45"/>
        <v>#DIV/0!</v>
      </c>
      <c r="K312" s="17" t="e">
        <f t="shared" si="46"/>
        <v>#DIV/0!</v>
      </c>
      <c r="L312" s="17" t="e">
        <f t="shared" si="47"/>
        <v>#DIV/0!</v>
      </c>
      <c r="M312" s="17" t="e">
        <f t="shared" si="48"/>
        <v>#DIV/0!</v>
      </c>
      <c r="N312" s="17" t="e">
        <f t="shared" si="49"/>
        <v>#DIV/0!</v>
      </c>
      <c r="O312" s="17" t="e">
        <f t="shared" si="50"/>
        <v>#DIV/0!</v>
      </c>
    </row>
    <row r="313" spans="4:15" x14ac:dyDescent="0.3">
      <c r="D313" s="17">
        <f>TL!D333</f>
        <v>0</v>
      </c>
      <c r="E313" s="17">
        <f>TL!C333</f>
        <v>0</v>
      </c>
      <c r="F313" s="17" t="e">
        <f t="shared" si="41"/>
        <v>#DIV/0!</v>
      </c>
      <c r="G313" s="17" t="e">
        <f t="shared" si="42"/>
        <v>#DIV/0!</v>
      </c>
      <c r="H313" s="17" t="e">
        <f t="shared" si="43"/>
        <v>#DIV/0!</v>
      </c>
      <c r="I313" s="17" t="e">
        <f t="shared" si="44"/>
        <v>#DIV/0!</v>
      </c>
      <c r="J313" s="17" t="e">
        <f t="shared" si="45"/>
        <v>#DIV/0!</v>
      </c>
      <c r="K313" s="17" t="e">
        <f t="shared" si="46"/>
        <v>#DIV/0!</v>
      </c>
      <c r="L313" s="17" t="e">
        <f t="shared" si="47"/>
        <v>#DIV/0!</v>
      </c>
      <c r="M313" s="17" t="e">
        <f t="shared" si="48"/>
        <v>#DIV/0!</v>
      </c>
      <c r="N313" s="17" t="e">
        <f t="shared" si="49"/>
        <v>#DIV/0!</v>
      </c>
      <c r="O313" s="17" t="e">
        <f t="shared" si="50"/>
        <v>#DIV/0!</v>
      </c>
    </row>
    <row r="314" spans="4:15" x14ac:dyDescent="0.3">
      <c r="D314" s="17">
        <f>TL!D334</f>
        <v>0</v>
      </c>
      <c r="E314" s="17">
        <f>TL!C334</f>
        <v>0</v>
      </c>
      <c r="F314" s="17" t="e">
        <f t="shared" si="41"/>
        <v>#DIV/0!</v>
      </c>
      <c r="G314" s="17" t="e">
        <f t="shared" si="42"/>
        <v>#DIV/0!</v>
      </c>
      <c r="H314" s="17" t="e">
        <f t="shared" si="43"/>
        <v>#DIV/0!</v>
      </c>
      <c r="I314" s="17" t="e">
        <f t="shared" si="44"/>
        <v>#DIV/0!</v>
      </c>
      <c r="J314" s="17" t="e">
        <f t="shared" si="45"/>
        <v>#DIV/0!</v>
      </c>
      <c r="K314" s="17" t="e">
        <f t="shared" si="46"/>
        <v>#DIV/0!</v>
      </c>
      <c r="L314" s="17" t="e">
        <f t="shared" si="47"/>
        <v>#DIV/0!</v>
      </c>
      <c r="M314" s="17" t="e">
        <f t="shared" si="48"/>
        <v>#DIV/0!</v>
      </c>
      <c r="N314" s="17" t="e">
        <f t="shared" si="49"/>
        <v>#DIV/0!</v>
      </c>
      <c r="O314" s="17" t="e">
        <f t="shared" si="50"/>
        <v>#DIV/0!</v>
      </c>
    </row>
    <row r="315" spans="4:15" x14ac:dyDescent="0.3">
      <c r="D315" s="17">
        <f>TL!D335</f>
        <v>0</v>
      </c>
      <c r="E315" s="17">
        <f>TL!C335</f>
        <v>0</v>
      </c>
      <c r="F315" s="17" t="e">
        <f t="shared" si="41"/>
        <v>#DIV/0!</v>
      </c>
      <c r="G315" s="17" t="e">
        <f t="shared" si="42"/>
        <v>#DIV/0!</v>
      </c>
      <c r="H315" s="17" t="e">
        <f t="shared" si="43"/>
        <v>#DIV/0!</v>
      </c>
      <c r="I315" s="17" t="e">
        <f t="shared" si="44"/>
        <v>#DIV/0!</v>
      </c>
      <c r="J315" s="17" t="e">
        <f t="shared" si="45"/>
        <v>#DIV/0!</v>
      </c>
      <c r="K315" s="17" t="e">
        <f t="shared" si="46"/>
        <v>#DIV/0!</v>
      </c>
      <c r="L315" s="17" t="e">
        <f t="shared" si="47"/>
        <v>#DIV/0!</v>
      </c>
      <c r="M315" s="17" t="e">
        <f t="shared" si="48"/>
        <v>#DIV/0!</v>
      </c>
      <c r="N315" s="17" t="e">
        <f t="shared" si="49"/>
        <v>#DIV/0!</v>
      </c>
      <c r="O315" s="17" t="e">
        <f t="shared" si="50"/>
        <v>#DIV/0!</v>
      </c>
    </row>
    <row r="316" spans="4:15" x14ac:dyDescent="0.3">
      <c r="D316" s="17">
        <f>TL!D336</f>
        <v>0</v>
      </c>
      <c r="E316" s="17">
        <f>TL!C336</f>
        <v>0</v>
      </c>
      <c r="F316" s="17" t="e">
        <f t="shared" si="41"/>
        <v>#DIV/0!</v>
      </c>
      <c r="G316" s="17" t="e">
        <f t="shared" si="42"/>
        <v>#DIV/0!</v>
      </c>
      <c r="H316" s="17" t="e">
        <f t="shared" si="43"/>
        <v>#DIV/0!</v>
      </c>
      <c r="I316" s="17" t="e">
        <f t="shared" si="44"/>
        <v>#DIV/0!</v>
      </c>
      <c r="J316" s="17" t="e">
        <f t="shared" si="45"/>
        <v>#DIV/0!</v>
      </c>
      <c r="K316" s="17" t="e">
        <f t="shared" si="46"/>
        <v>#DIV/0!</v>
      </c>
      <c r="L316" s="17" t="e">
        <f t="shared" si="47"/>
        <v>#DIV/0!</v>
      </c>
      <c r="M316" s="17" t="e">
        <f t="shared" si="48"/>
        <v>#DIV/0!</v>
      </c>
      <c r="N316" s="17" t="e">
        <f t="shared" si="49"/>
        <v>#DIV/0!</v>
      </c>
      <c r="O316" s="17" t="e">
        <f t="shared" si="50"/>
        <v>#DIV/0!</v>
      </c>
    </row>
    <row r="317" spans="4:15" x14ac:dyDescent="0.3">
      <c r="D317" s="17">
        <f>TL!D337</f>
        <v>0</v>
      </c>
      <c r="E317" s="17">
        <f>TL!C337</f>
        <v>0</v>
      </c>
      <c r="F317" s="17" t="e">
        <f t="shared" si="41"/>
        <v>#DIV/0!</v>
      </c>
      <c r="G317" s="17" t="e">
        <f t="shared" si="42"/>
        <v>#DIV/0!</v>
      </c>
      <c r="H317" s="17" t="e">
        <f t="shared" si="43"/>
        <v>#DIV/0!</v>
      </c>
      <c r="I317" s="17" t="e">
        <f t="shared" si="44"/>
        <v>#DIV/0!</v>
      </c>
      <c r="J317" s="17" t="e">
        <f t="shared" si="45"/>
        <v>#DIV/0!</v>
      </c>
      <c r="K317" s="17" t="e">
        <f t="shared" si="46"/>
        <v>#DIV/0!</v>
      </c>
      <c r="L317" s="17" t="e">
        <f t="shared" si="47"/>
        <v>#DIV/0!</v>
      </c>
      <c r="M317" s="17" t="e">
        <f t="shared" si="48"/>
        <v>#DIV/0!</v>
      </c>
      <c r="N317" s="17" t="e">
        <f t="shared" si="49"/>
        <v>#DIV/0!</v>
      </c>
      <c r="O317" s="17" t="e">
        <f t="shared" si="50"/>
        <v>#DIV/0!</v>
      </c>
    </row>
    <row r="318" spans="4:15" x14ac:dyDescent="0.3">
      <c r="D318" s="17">
        <f>TL!D338</f>
        <v>0</v>
      </c>
      <c r="E318" s="17">
        <f>TL!C338</f>
        <v>0</v>
      </c>
      <c r="F318" s="17" t="e">
        <f t="shared" si="41"/>
        <v>#DIV/0!</v>
      </c>
      <c r="G318" s="17" t="e">
        <f t="shared" si="42"/>
        <v>#DIV/0!</v>
      </c>
      <c r="H318" s="17" t="e">
        <f t="shared" si="43"/>
        <v>#DIV/0!</v>
      </c>
      <c r="I318" s="17" t="e">
        <f t="shared" si="44"/>
        <v>#DIV/0!</v>
      </c>
      <c r="J318" s="17" t="e">
        <f t="shared" si="45"/>
        <v>#DIV/0!</v>
      </c>
      <c r="K318" s="17" t="e">
        <f t="shared" si="46"/>
        <v>#DIV/0!</v>
      </c>
      <c r="L318" s="17" t="e">
        <f t="shared" si="47"/>
        <v>#DIV/0!</v>
      </c>
      <c r="M318" s="17" t="e">
        <f t="shared" si="48"/>
        <v>#DIV/0!</v>
      </c>
      <c r="N318" s="17" t="e">
        <f t="shared" si="49"/>
        <v>#DIV/0!</v>
      </c>
      <c r="O318" s="17" t="e">
        <f t="shared" si="50"/>
        <v>#DIV/0!</v>
      </c>
    </row>
    <row r="319" spans="4:15" x14ac:dyDescent="0.3">
      <c r="D319" s="17">
        <f>TL!D339</f>
        <v>0</v>
      </c>
      <c r="E319" s="17">
        <f>TL!C339</f>
        <v>0</v>
      </c>
      <c r="F319" s="17" t="e">
        <f t="shared" si="41"/>
        <v>#DIV/0!</v>
      </c>
      <c r="G319" s="17" t="e">
        <f t="shared" si="42"/>
        <v>#DIV/0!</v>
      </c>
      <c r="H319" s="17" t="e">
        <f t="shared" si="43"/>
        <v>#DIV/0!</v>
      </c>
      <c r="I319" s="17" t="e">
        <f t="shared" si="44"/>
        <v>#DIV/0!</v>
      </c>
      <c r="J319" s="17" t="e">
        <f t="shared" si="45"/>
        <v>#DIV/0!</v>
      </c>
      <c r="K319" s="17" t="e">
        <f t="shared" si="46"/>
        <v>#DIV/0!</v>
      </c>
      <c r="L319" s="17" t="e">
        <f t="shared" si="47"/>
        <v>#DIV/0!</v>
      </c>
      <c r="M319" s="17" t="e">
        <f t="shared" si="48"/>
        <v>#DIV/0!</v>
      </c>
      <c r="N319" s="17" t="e">
        <f t="shared" si="49"/>
        <v>#DIV/0!</v>
      </c>
      <c r="O319" s="17" t="e">
        <f t="shared" si="50"/>
        <v>#DIV/0!</v>
      </c>
    </row>
    <row r="320" spans="4:15" x14ac:dyDescent="0.3">
      <c r="D320" s="17">
        <f>TL!D340</f>
        <v>0</v>
      </c>
      <c r="E320" s="17">
        <f>TL!C340</f>
        <v>0</v>
      </c>
      <c r="F320" s="17" t="e">
        <f t="shared" si="41"/>
        <v>#DIV/0!</v>
      </c>
      <c r="G320" s="17" t="e">
        <f t="shared" si="42"/>
        <v>#DIV/0!</v>
      </c>
      <c r="H320" s="17" t="e">
        <f t="shared" si="43"/>
        <v>#DIV/0!</v>
      </c>
      <c r="I320" s="17" t="e">
        <f t="shared" si="44"/>
        <v>#DIV/0!</v>
      </c>
      <c r="J320" s="17" t="e">
        <f t="shared" si="45"/>
        <v>#DIV/0!</v>
      </c>
      <c r="K320" s="17" t="e">
        <f t="shared" si="46"/>
        <v>#DIV/0!</v>
      </c>
      <c r="L320" s="17" t="e">
        <f t="shared" si="47"/>
        <v>#DIV/0!</v>
      </c>
      <c r="M320" s="17" t="e">
        <f t="shared" si="48"/>
        <v>#DIV/0!</v>
      </c>
      <c r="N320" s="17" t="e">
        <f t="shared" si="49"/>
        <v>#DIV/0!</v>
      </c>
      <c r="O320" s="17" t="e">
        <f t="shared" si="50"/>
        <v>#DIV/0!</v>
      </c>
    </row>
    <row r="321" spans="4:15" x14ac:dyDescent="0.3">
      <c r="D321" s="17">
        <f>TL!D341</f>
        <v>0</v>
      </c>
      <c r="E321" s="17">
        <f>TL!C341</f>
        <v>0</v>
      </c>
      <c r="F321" s="17" t="e">
        <f t="shared" si="41"/>
        <v>#DIV/0!</v>
      </c>
      <c r="G321" s="17" t="e">
        <f t="shared" si="42"/>
        <v>#DIV/0!</v>
      </c>
      <c r="H321" s="17" t="e">
        <f t="shared" si="43"/>
        <v>#DIV/0!</v>
      </c>
      <c r="I321" s="17" t="e">
        <f t="shared" si="44"/>
        <v>#DIV/0!</v>
      </c>
      <c r="J321" s="17" t="e">
        <f t="shared" si="45"/>
        <v>#DIV/0!</v>
      </c>
      <c r="K321" s="17" t="e">
        <f t="shared" si="46"/>
        <v>#DIV/0!</v>
      </c>
      <c r="L321" s="17" t="e">
        <f t="shared" si="47"/>
        <v>#DIV/0!</v>
      </c>
      <c r="M321" s="17" t="e">
        <f t="shared" si="48"/>
        <v>#DIV/0!</v>
      </c>
      <c r="N321" s="17" t="e">
        <f t="shared" si="49"/>
        <v>#DIV/0!</v>
      </c>
      <c r="O321" s="17" t="e">
        <f t="shared" si="50"/>
        <v>#DIV/0!</v>
      </c>
    </row>
    <row r="322" spans="4:15" x14ac:dyDescent="0.3">
      <c r="D322" s="17">
        <f>TL!D342</f>
        <v>0</v>
      </c>
      <c r="E322" s="17">
        <f>TL!C342</f>
        <v>0</v>
      </c>
      <c r="F322" s="17" t="e">
        <f t="shared" si="41"/>
        <v>#DIV/0!</v>
      </c>
      <c r="G322" s="17" t="e">
        <f t="shared" si="42"/>
        <v>#DIV/0!</v>
      </c>
      <c r="H322" s="17" t="e">
        <f t="shared" si="43"/>
        <v>#DIV/0!</v>
      </c>
      <c r="I322" s="17" t="e">
        <f t="shared" si="44"/>
        <v>#DIV/0!</v>
      </c>
      <c r="J322" s="17" t="e">
        <f t="shared" si="45"/>
        <v>#DIV/0!</v>
      </c>
      <c r="K322" s="17" t="e">
        <f t="shared" si="46"/>
        <v>#DIV/0!</v>
      </c>
      <c r="L322" s="17" t="e">
        <f t="shared" si="47"/>
        <v>#DIV/0!</v>
      </c>
      <c r="M322" s="17" t="e">
        <f t="shared" si="48"/>
        <v>#DIV/0!</v>
      </c>
      <c r="N322" s="17" t="e">
        <f t="shared" si="49"/>
        <v>#DIV/0!</v>
      </c>
      <c r="O322" s="17" t="e">
        <f t="shared" si="50"/>
        <v>#DIV/0!</v>
      </c>
    </row>
    <row r="323" spans="4:15" x14ac:dyDescent="0.3">
      <c r="D323" s="17">
        <f>TL!D343</f>
        <v>0</v>
      </c>
      <c r="E323" s="17">
        <f>TL!C343</f>
        <v>0</v>
      </c>
      <c r="F323" s="17" t="e">
        <f t="shared" si="41"/>
        <v>#DIV/0!</v>
      </c>
      <c r="G323" s="17" t="e">
        <f t="shared" si="42"/>
        <v>#DIV/0!</v>
      </c>
      <c r="H323" s="17" t="e">
        <f t="shared" si="43"/>
        <v>#DIV/0!</v>
      </c>
      <c r="I323" s="17" t="e">
        <f t="shared" si="44"/>
        <v>#DIV/0!</v>
      </c>
      <c r="J323" s="17" t="e">
        <f t="shared" si="45"/>
        <v>#DIV/0!</v>
      </c>
      <c r="K323" s="17" t="e">
        <f t="shared" si="46"/>
        <v>#DIV/0!</v>
      </c>
      <c r="L323" s="17" t="e">
        <f t="shared" si="47"/>
        <v>#DIV/0!</v>
      </c>
      <c r="M323" s="17" t="e">
        <f t="shared" si="48"/>
        <v>#DIV/0!</v>
      </c>
      <c r="N323" s="17" t="e">
        <f t="shared" si="49"/>
        <v>#DIV/0!</v>
      </c>
      <c r="O323" s="17" t="e">
        <f t="shared" si="50"/>
        <v>#DIV/0!</v>
      </c>
    </row>
    <row r="324" spans="4:15" x14ac:dyDescent="0.3">
      <c r="D324" s="17">
        <f>TL!D344</f>
        <v>0</v>
      </c>
      <c r="E324" s="17">
        <f>TL!C344</f>
        <v>0</v>
      </c>
      <c r="F324" s="17" t="e">
        <f t="shared" si="41"/>
        <v>#DIV/0!</v>
      </c>
      <c r="G324" s="17" t="e">
        <f t="shared" si="42"/>
        <v>#DIV/0!</v>
      </c>
      <c r="H324" s="17" t="e">
        <f t="shared" si="43"/>
        <v>#DIV/0!</v>
      </c>
      <c r="I324" s="17" t="e">
        <f t="shared" si="44"/>
        <v>#DIV/0!</v>
      </c>
      <c r="J324" s="17" t="e">
        <f t="shared" si="45"/>
        <v>#DIV/0!</v>
      </c>
      <c r="K324" s="17" t="e">
        <f t="shared" si="46"/>
        <v>#DIV/0!</v>
      </c>
      <c r="L324" s="17" t="e">
        <f t="shared" si="47"/>
        <v>#DIV/0!</v>
      </c>
      <c r="M324" s="17" t="e">
        <f t="shared" si="48"/>
        <v>#DIV/0!</v>
      </c>
      <c r="N324" s="17" t="e">
        <f t="shared" si="49"/>
        <v>#DIV/0!</v>
      </c>
      <c r="O324" s="17" t="e">
        <f t="shared" si="50"/>
        <v>#DIV/0!</v>
      </c>
    </row>
    <row r="325" spans="4:15" x14ac:dyDescent="0.3">
      <c r="D325" s="17">
        <f>TL!D345</f>
        <v>0</v>
      </c>
      <c r="E325" s="17">
        <f>TL!C345</f>
        <v>0</v>
      </c>
      <c r="F325" s="17" t="e">
        <f t="shared" si="41"/>
        <v>#DIV/0!</v>
      </c>
      <c r="G325" s="17" t="e">
        <f t="shared" si="42"/>
        <v>#DIV/0!</v>
      </c>
      <c r="H325" s="17" t="e">
        <f t="shared" si="43"/>
        <v>#DIV/0!</v>
      </c>
      <c r="I325" s="17" t="e">
        <f t="shared" si="44"/>
        <v>#DIV/0!</v>
      </c>
      <c r="J325" s="17" t="e">
        <f t="shared" si="45"/>
        <v>#DIV/0!</v>
      </c>
      <c r="K325" s="17" t="e">
        <f t="shared" si="46"/>
        <v>#DIV/0!</v>
      </c>
      <c r="L325" s="17" t="e">
        <f t="shared" si="47"/>
        <v>#DIV/0!</v>
      </c>
      <c r="M325" s="17" t="e">
        <f t="shared" si="48"/>
        <v>#DIV/0!</v>
      </c>
      <c r="N325" s="17" t="e">
        <f t="shared" si="49"/>
        <v>#DIV/0!</v>
      </c>
      <c r="O325" s="17" t="e">
        <f t="shared" si="50"/>
        <v>#DIV/0!</v>
      </c>
    </row>
    <row r="326" spans="4:15" x14ac:dyDescent="0.3">
      <c r="D326" s="17">
        <f>TL!D346</f>
        <v>0</v>
      </c>
      <c r="E326" s="17">
        <f>TL!C346</f>
        <v>0</v>
      </c>
      <c r="F326" s="17" t="e">
        <f t="shared" si="41"/>
        <v>#DIV/0!</v>
      </c>
      <c r="G326" s="17" t="e">
        <f t="shared" si="42"/>
        <v>#DIV/0!</v>
      </c>
      <c r="H326" s="17" t="e">
        <f t="shared" si="43"/>
        <v>#DIV/0!</v>
      </c>
      <c r="I326" s="17" t="e">
        <f t="shared" si="44"/>
        <v>#DIV/0!</v>
      </c>
      <c r="J326" s="17" t="e">
        <f t="shared" si="45"/>
        <v>#DIV/0!</v>
      </c>
      <c r="K326" s="17" t="e">
        <f t="shared" si="46"/>
        <v>#DIV/0!</v>
      </c>
      <c r="L326" s="17" t="e">
        <f t="shared" si="47"/>
        <v>#DIV/0!</v>
      </c>
      <c r="M326" s="17" t="e">
        <f t="shared" si="48"/>
        <v>#DIV/0!</v>
      </c>
      <c r="N326" s="17" t="e">
        <f t="shared" si="49"/>
        <v>#DIV/0!</v>
      </c>
      <c r="O326" s="17" t="e">
        <f t="shared" si="50"/>
        <v>#DIV/0!</v>
      </c>
    </row>
    <row r="327" spans="4:15" x14ac:dyDescent="0.3">
      <c r="D327" s="17">
        <f>TL!D347</f>
        <v>0</v>
      </c>
      <c r="E327" s="17">
        <f>TL!C347</f>
        <v>0</v>
      </c>
      <c r="F327" s="17" t="e">
        <f t="shared" si="41"/>
        <v>#DIV/0!</v>
      </c>
      <c r="G327" s="17" t="e">
        <f t="shared" si="42"/>
        <v>#DIV/0!</v>
      </c>
      <c r="H327" s="17" t="e">
        <f t="shared" si="43"/>
        <v>#DIV/0!</v>
      </c>
      <c r="I327" s="17" t="e">
        <f t="shared" si="44"/>
        <v>#DIV/0!</v>
      </c>
      <c r="J327" s="17" t="e">
        <f t="shared" si="45"/>
        <v>#DIV/0!</v>
      </c>
      <c r="K327" s="17" t="e">
        <f t="shared" si="46"/>
        <v>#DIV/0!</v>
      </c>
      <c r="L327" s="17" t="e">
        <f t="shared" si="47"/>
        <v>#DIV/0!</v>
      </c>
      <c r="M327" s="17" t="e">
        <f t="shared" si="48"/>
        <v>#DIV/0!</v>
      </c>
      <c r="N327" s="17" t="e">
        <f t="shared" si="49"/>
        <v>#DIV/0!</v>
      </c>
      <c r="O327" s="17" t="e">
        <f t="shared" si="50"/>
        <v>#DIV/0!</v>
      </c>
    </row>
    <row r="328" spans="4:15" x14ac:dyDescent="0.3">
      <c r="D328" s="17">
        <f>TL!D348</f>
        <v>0</v>
      </c>
      <c r="E328" s="17">
        <f>TL!C348</f>
        <v>0</v>
      </c>
      <c r="F328" s="17" t="e">
        <f t="shared" si="41"/>
        <v>#DIV/0!</v>
      </c>
      <c r="G328" s="17" t="e">
        <f t="shared" si="42"/>
        <v>#DIV/0!</v>
      </c>
      <c r="H328" s="17" t="e">
        <f t="shared" si="43"/>
        <v>#DIV/0!</v>
      </c>
      <c r="I328" s="17" t="e">
        <f t="shared" si="44"/>
        <v>#DIV/0!</v>
      </c>
      <c r="J328" s="17" t="e">
        <f t="shared" si="45"/>
        <v>#DIV/0!</v>
      </c>
      <c r="K328" s="17" t="e">
        <f t="shared" si="46"/>
        <v>#DIV/0!</v>
      </c>
      <c r="L328" s="17" t="e">
        <f t="shared" si="47"/>
        <v>#DIV/0!</v>
      </c>
      <c r="M328" s="17" t="e">
        <f t="shared" si="48"/>
        <v>#DIV/0!</v>
      </c>
      <c r="N328" s="17" t="e">
        <f t="shared" si="49"/>
        <v>#DIV/0!</v>
      </c>
      <c r="O328" s="17" t="e">
        <f t="shared" si="50"/>
        <v>#DIV/0!</v>
      </c>
    </row>
    <row r="329" spans="4:15" x14ac:dyDescent="0.3">
      <c r="D329" s="17">
        <f>TL!D349</f>
        <v>0</v>
      </c>
      <c r="E329" s="17">
        <f>TL!C349</f>
        <v>0</v>
      </c>
      <c r="F329" s="17" t="e">
        <f t="shared" si="41"/>
        <v>#DIV/0!</v>
      </c>
      <c r="G329" s="17" t="e">
        <f t="shared" si="42"/>
        <v>#DIV/0!</v>
      </c>
      <c r="H329" s="17" t="e">
        <f t="shared" si="43"/>
        <v>#DIV/0!</v>
      </c>
      <c r="I329" s="17" t="e">
        <f t="shared" si="44"/>
        <v>#DIV/0!</v>
      </c>
      <c r="J329" s="17" t="e">
        <f t="shared" si="45"/>
        <v>#DIV/0!</v>
      </c>
      <c r="K329" s="17" t="e">
        <f t="shared" si="46"/>
        <v>#DIV/0!</v>
      </c>
      <c r="L329" s="17" t="e">
        <f t="shared" si="47"/>
        <v>#DIV/0!</v>
      </c>
      <c r="M329" s="17" t="e">
        <f t="shared" si="48"/>
        <v>#DIV/0!</v>
      </c>
      <c r="N329" s="17" t="e">
        <f t="shared" si="49"/>
        <v>#DIV/0!</v>
      </c>
      <c r="O329" s="17" t="e">
        <f t="shared" si="50"/>
        <v>#DIV/0!</v>
      </c>
    </row>
    <row r="330" spans="4:15" x14ac:dyDescent="0.3">
      <c r="D330" s="17">
        <f>TL!D350</f>
        <v>0</v>
      </c>
      <c r="E330" s="17">
        <f>TL!C350</f>
        <v>0</v>
      </c>
      <c r="F330" s="17" t="e">
        <f t="shared" si="41"/>
        <v>#DIV/0!</v>
      </c>
      <c r="G330" s="17" t="e">
        <f t="shared" si="42"/>
        <v>#DIV/0!</v>
      </c>
      <c r="H330" s="17" t="e">
        <f t="shared" si="43"/>
        <v>#DIV/0!</v>
      </c>
      <c r="I330" s="17" t="e">
        <f t="shared" si="44"/>
        <v>#DIV/0!</v>
      </c>
      <c r="J330" s="17" t="e">
        <f t="shared" si="45"/>
        <v>#DIV/0!</v>
      </c>
      <c r="K330" s="17" t="e">
        <f t="shared" si="46"/>
        <v>#DIV/0!</v>
      </c>
      <c r="L330" s="17" t="e">
        <f t="shared" si="47"/>
        <v>#DIV/0!</v>
      </c>
      <c r="M330" s="17" t="e">
        <f t="shared" si="48"/>
        <v>#DIV/0!</v>
      </c>
      <c r="N330" s="17" t="e">
        <f t="shared" si="49"/>
        <v>#DIV/0!</v>
      </c>
      <c r="O330" s="17" t="e">
        <f t="shared" si="50"/>
        <v>#DIV/0!</v>
      </c>
    </row>
    <row r="331" spans="4:15" x14ac:dyDescent="0.3">
      <c r="D331" s="17">
        <f>TL!D351</f>
        <v>0</v>
      </c>
      <c r="E331" s="17">
        <f>TL!C351</f>
        <v>0</v>
      </c>
      <c r="F331" s="17" t="e">
        <f t="shared" si="41"/>
        <v>#DIV/0!</v>
      </c>
      <c r="G331" s="17" t="e">
        <f t="shared" si="42"/>
        <v>#DIV/0!</v>
      </c>
      <c r="H331" s="17" t="e">
        <f t="shared" si="43"/>
        <v>#DIV/0!</v>
      </c>
      <c r="I331" s="17" t="e">
        <f t="shared" si="44"/>
        <v>#DIV/0!</v>
      </c>
      <c r="J331" s="17" t="e">
        <f t="shared" si="45"/>
        <v>#DIV/0!</v>
      </c>
      <c r="K331" s="17" t="e">
        <f t="shared" si="46"/>
        <v>#DIV/0!</v>
      </c>
      <c r="L331" s="17" t="e">
        <f t="shared" si="47"/>
        <v>#DIV/0!</v>
      </c>
      <c r="M331" s="17" t="e">
        <f t="shared" si="48"/>
        <v>#DIV/0!</v>
      </c>
      <c r="N331" s="17" t="e">
        <f t="shared" si="49"/>
        <v>#DIV/0!</v>
      </c>
      <c r="O331" s="17" t="e">
        <f t="shared" si="50"/>
        <v>#DIV/0!</v>
      </c>
    </row>
    <row r="332" spans="4:15" x14ac:dyDescent="0.3">
      <c r="D332" s="17">
        <f>TL!D352</f>
        <v>0</v>
      </c>
      <c r="E332" s="17">
        <f>TL!C352</f>
        <v>0</v>
      </c>
      <c r="F332" s="17" t="e">
        <f t="shared" si="41"/>
        <v>#DIV/0!</v>
      </c>
      <c r="G332" s="17" t="e">
        <f t="shared" si="42"/>
        <v>#DIV/0!</v>
      </c>
      <c r="H332" s="17" t="e">
        <f t="shared" si="43"/>
        <v>#DIV/0!</v>
      </c>
      <c r="I332" s="17" t="e">
        <f t="shared" si="44"/>
        <v>#DIV/0!</v>
      </c>
      <c r="J332" s="17" t="e">
        <f t="shared" si="45"/>
        <v>#DIV/0!</v>
      </c>
      <c r="K332" s="17" t="e">
        <f t="shared" si="46"/>
        <v>#DIV/0!</v>
      </c>
      <c r="L332" s="17" t="e">
        <f t="shared" si="47"/>
        <v>#DIV/0!</v>
      </c>
      <c r="M332" s="17" t="e">
        <f t="shared" si="48"/>
        <v>#DIV/0!</v>
      </c>
      <c r="N332" s="17" t="e">
        <f t="shared" si="49"/>
        <v>#DIV/0!</v>
      </c>
      <c r="O332" s="17" t="e">
        <f t="shared" si="50"/>
        <v>#DIV/0!</v>
      </c>
    </row>
    <row r="333" spans="4:15" x14ac:dyDescent="0.3">
      <c r="D333" s="17">
        <f>TL!D353</f>
        <v>0</v>
      </c>
      <c r="E333" s="17">
        <f>TL!C353</f>
        <v>0</v>
      </c>
      <c r="F333" s="17" t="e">
        <f t="shared" si="41"/>
        <v>#DIV/0!</v>
      </c>
      <c r="G333" s="17" t="e">
        <f t="shared" si="42"/>
        <v>#DIV/0!</v>
      </c>
      <c r="H333" s="17" t="e">
        <f t="shared" si="43"/>
        <v>#DIV/0!</v>
      </c>
      <c r="I333" s="17" t="e">
        <f t="shared" si="44"/>
        <v>#DIV/0!</v>
      </c>
      <c r="J333" s="17" t="e">
        <f t="shared" si="45"/>
        <v>#DIV/0!</v>
      </c>
      <c r="K333" s="17" t="e">
        <f t="shared" si="46"/>
        <v>#DIV/0!</v>
      </c>
      <c r="L333" s="17" t="e">
        <f t="shared" si="47"/>
        <v>#DIV/0!</v>
      </c>
      <c r="M333" s="17" t="e">
        <f t="shared" si="48"/>
        <v>#DIV/0!</v>
      </c>
      <c r="N333" s="17" t="e">
        <f t="shared" si="49"/>
        <v>#DIV/0!</v>
      </c>
      <c r="O333" s="17" t="e">
        <f t="shared" si="50"/>
        <v>#DIV/0!</v>
      </c>
    </row>
    <row r="334" spans="4:15" x14ac:dyDescent="0.3">
      <c r="D334" s="17">
        <f>TL!D354</f>
        <v>0</v>
      </c>
      <c r="E334" s="17">
        <f>TL!C354</f>
        <v>0</v>
      </c>
      <c r="F334" s="17" t="e">
        <f t="shared" si="41"/>
        <v>#DIV/0!</v>
      </c>
      <c r="G334" s="17" t="e">
        <f t="shared" si="42"/>
        <v>#DIV/0!</v>
      </c>
      <c r="H334" s="17" t="e">
        <f t="shared" si="43"/>
        <v>#DIV/0!</v>
      </c>
      <c r="I334" s="17" t="e">
        <f t="shared" si="44"/>
        <v>#DIV/0!</v>
      </c>
      <c r="J334" s="17" t="e">
        <f t="shared" si="45"/>
        <v>#DIV/0!</v>
      </c>
      <c r="K334" s="17" t="e">
        <f t="shared" si="46"/>
        <v>#DIV/0!</v>
      </c>
      <c r="L334" s="17" t="e">
        <f t="shared" si="47"/>
        <v>#DIV/0!</v>
      </c>
      <c r="M334" s="17" t="e">
        <f t="shared" si="48"/>
        <v>#DIV/0!</v>
      </c>
      <c r="N334" s="17" t="e">
        <f t="shared" si="49"/>
        <v>#DIV/0!</v>
      </c>
      <c r="O334" s="17" t="e">
        <f t="shared" si="50"/>
        <v>#DIV/0!</v>
      </c>
    </row>
    <row r="335" spans="4:15" x14ac:dyDescent="0.3">
      <c r="D335" s="17">
        <f>TL!D355</f>
        <v>0</v>
      </c>
      <c r="E335" s="17">
        <f>TL!C355</f>
        <v>0</v>
      </c>
      <c r="F335" s="17" t="e">
        <f t="shared" si="41"/>
        <v>#DIV/0!</v>
      </c>
      <c r="G335" s="17" t="e">
        <f t="shared" si="42"/>
        <v>#DIV/0!</v>
      </c>
      <c r="H335" s="17" t="e">
        <f t="shared" si="43"/>
        <v>#DIV/0!</v>
      </c>
      <c r="I335" s="17" t="e">
        <f t="shared" si="44"/>
        <v>#DIV/0!</v>
      </c>
      <c r="J335" s="17" t="e">
        <f t="shared" si="45"/>
        <v>#DIV/0!</v>
      </c>
      <c r="K335" s="17" t="e">
        <f t="shared" si="46"/>
        <v>#DIV/0!</v>
      </c>
      <c r="L335" s="17" t="e">
        <f t="shared" si="47"/>
        <v>#DIV/0!</v>
      </c>
      <c r="M335" s="17" t="e">
        <f t="shared" si="48"/>
        <v>#DIV/0!</v>
      </c>
      <c r="N335" s="17" t="e">
        <f t="shared" si="49"/>
        <v>#DIV/0!</v>
      </c>
      <c r="O335" s="17" t="e">
        <f t="shared" si="50"/>
        <v>#DIV/0!</v>
      </c>
    </row>
    <row r="336" spans="4:15" x14ac:dyDescent="0.3">
      <c r="D336" s="17">
        <f>TL!D356</f>
        <v>0</v>
      </c>
      <c r="E336" s="17">
        <f>TL!C356</f>
        <v>0</v>
      </c>
      <c r="F336" s="17" t="e">
        <f t="shared" ref="F336:F364" si="51">$C$8*D336^2/$F$9*EXP(-$F$9/($C$8*D336))*(1-2*$C$8*D336/$F$9)</f>
        <v>#DIV/0!</v>
      </c>
      <c r="G336" s="17" t="e">
        <f t="shared" ref="G336:G364" si="52">$C$8*D336^2/$G$9*EXP(-$G$9/($C$8*D336))*(1-2*$C$8*D336/$G$9)</f>
        <v>#DIV/0!</v>
      </c>
      <c r="H336" s="17" t="e">
        <f t="shared" ref="H336:H364" si="53">$C$8*D336^2/$H$9*EXP(-$H$9/($C$8*D336))*(1-2*$C$8*D336/$H$9)</f>
        <v>#DIV/0!</v>
      </c>
      <c r="I336" s="17" t="e">
        <f t="shared" ref="I336:I364" si="54">$C$8*D336^2/$I$9*EXP(-$I$9/($C$8*D336))*(1-2*$C$8*D336/$I$9)</f>
        <v>#DIV/0!</v>
      </c>
      <c r="J336" s="17" t="e">
        <f t="shared" ref="J336:J364" si="55">$C$8*D336^2/$J$9*EXP(-$J$9/($C$8*D336))*(1-2*$C$8*D336/$J$9)</f>
        <v>#DIV/0!</v>
      </c>
      <c r="K336" s="17" t="e">
        <f t="shared" ref="K336:K364" si="56">$C$8*D336^2/$K$9*EXP(-$K$9/($C$8*D336))*(1-2*$C$8*D336/$K$9)</f>
        <v>#DIV/0!</v>
      </c>
      <c r="L336" s="17" t="e">
        <f t="shared" ref="L336:L364" si="57">$C$8*D336^2/$L$9*EXP(-$L$9/($C$8*D336))*(1-2*$C$8*D336/$L$9)</f>
        <v>#DIV/0!</v>
      </c>
      <c r="M336" s="17" t="e">
        <f t="shared" ref="M336:M364" si="58">$C$8*D336^2/$M$9*EXP(-$M$9/($C$8*D336))*(1-2*$C$8*D336/$M$9)</f>
        <v>#DIV/0!</v>
      </c>
      <c r="N336" s="17" t="e">
        <f t="shared" ref="N336:N364" si="59">$C$8*D336^2/$N$9*EXP(-$N$9/($C$8*D336))*(1-2*$C$8*D336/$N$9)</f>
        <v>#DIV/0!</v>
      </c>
      <c r="O336" s="17" t="e">
        <f t="shared" ref="O336:O364" si="60">$C$8*D336^2/$O$9*EXP(-$O$9/($C$8*D336))*(1-2*$C$8*D336/$O$9)</f>
        <v>#DIV/0!</v>
      </c>
    </row>
    <row r="337" spans="4:15" x14ac:dyDescent="0.3">
      <c r="D337" s="17">
        <f>TL!D357</f>
        <v>0</v>
      </c>
      <c r="E337" s="17">
        <f>TL!C357</f>
        <v>0</v>
      </c>
      <c r="F337" s="17" t="e">
        <f t="shared" si="51"/>
        <v>#DIV/0!</v>
      </c>
      <c r="G337" s="17" t="e">
        <f t="shared" si="52"/>
        <v>#DIV/0!</v>
      </c>
      <c r="H337" s="17" t="e">
        <f t="shared" si="53"/>
        <v>#DIV/0!</v>
      </c>
      <c r="I337" s="17" t="e">
        <f t="shared" si="54"/>
        <v>#DIV/0!</v>
      </c>
      <c r="J337" s="17" t="e">
        <f t="shared" si="55"/>
        <v>#DIV/0!</v>
      </c>
      <c r="K337" s="17" t="e">
        <f t="shared" si="56"/>
        <v>#DIV/0!</v>
      </c>
      <c r="L337" s="17" t="e">
        <f t="shared" si="57"/>
        <v>#DIV/0!</v>
      </c>
      <c r="M337" s="17" t="e">
        <f t="shared" si="58"/>
        <v>#DIV/0!</v>
      </c>
      <c r="N337" s="17" t="e">
        <f t="shared" si="59"/>
        <v>#DIV/0!</v>
      </c>
      <c r="O337" s="17" t="e">
        <f t="shared" si="60"/>
        <v>#DIV/0!</v>
      </c>
    </row>
    <row r="338" spans="4:15" x14ac:dyDescent="0.3">
      <c r="D338" s="17">
        <f>TL!D358</f>
        <v>0</v>
      </c>
      <c r="E338" s="17">
        <f>TL!C358</f>
        <v>0</v>
      </c>
      <c r="F338" s="17" t="e">
        <f t="shared" si="51"/>
        <v>#DIV/0!</v>
      </c>
      <c r="G338" s="17" t="e">
        <f t="shared" si="52"/>
        <v>#DIV/0!</v>
      </c>
      <c r="H338" s="17" t="e">
        <f t="shared" si="53"/>
        <v>#DIV/0!</v>
      </c>
      <c r="I338" s="17" t="e">
        <f t="shared" si="54"/>
        <v>#DIV/0!</v>
      </c>
      <c r="J338" s="17" t="e">
        <f t="shared" si="55"/>
        <v>#DIV/0!</v>
      </c>
      <c r="K338" s="17" t="e">
        <f t="shared" si="56"/>
        <v>#DIV/0!</v>
      </c>
      <c r="L338" s="17" t="e">
        <f t="shared" si="57"/>
        <v>#DIV/0!</v>
      </c>
      <c r="M338" s="17" t="e">
        <f t="shared" si="58"/>
        <v>#DIV/0!</v>
      </c>
      <c r="N338" s="17" t="e">
        <f t="shared" si="59"/>
        <v>#DIV/0!</v>
      </c>
      <c r="O338" s="17" t="e">
        <f t="shared" si="60"/>
        <v>#DIV/0!</v>
      </c>
    </row>
    <row r="339" spans="4:15" x14ac:dyDescent="0.3">
      <c r="D339" s="17">
        <f>TL!D359</f>
        <v>0</v>
      </c>
      <c r="E339" s="17">
        <f>TL!C359</f>
        <v>0</v>
      </c>
      <c r="F339" s="17" t="e">
        <f t="shared" si="51"/>
        <v>#DIV/0!</v>
      </c>
      <c r="G339" s="17" t="e">
        <f t="shared" si="52"/>
        <v>#DIV/0!</v>
      </c>
      <c r="H339" s="17" t="e">
        <f t="shared" si="53"/>
        <v>#DIV/0!</v>
      </c>
      <c r="I339" s="17" t="e">
        <f t="shared" si="54"/>
        <v>#DIV/0!</v>
      </c>
      <c r="J339" s="17" t="e">
        <f t="shared" si="55"/>
        <v>#DIV/0!</v>
      </c>
      <c r="K339" s="17" t="e">
        <f t="shared" si="56"/>
        <v>#DIV/0!</v>
      </c>
      <c r="L339" s="17" t="e">
        <f t="shared" si="57"/>
        <v>#DIV/0!</v>
      </c>
      <c r="M339" s="17" t="e">
        <f t="shared" si="58"/>
        <v>#DIV/0!</v>
      </c>
      <c r="N339" s="17" t="e">
        <f t="shared" si="59"/>
        <v>#DIV/0!</v>
      </c>
      <c r="O339" s="17" t="e">
        <f t="shared" si="60"/>
        <v>#DIV/0!</v>
      </c>
    </row>
    <row r="340" spans="4:15" x14ac:dyDescent="0.3">
      <c r="D340" s="17">
        <f>TL!D360</f>
        <v>0</v>
      </c>
      <c r="E340" s="17">
        <f>TL!C360</f>
        <v>0</v>
      </c>
      <c r="F340" s="17" t="e">
        <f t="shared" si="51"/>
        <v>#DIV/0!</v>
      </c>
      <c r="G340" s="17" t="e">
        <f t="shared" si="52"/>
        <v>#DIV/0!</v>
      </c>
      <c r="H340" s="17" t="e">
        <f t="shared" si="53"/>
        <v>#DIV/0!</v>
      </c>
      <c r="I340" s="17" t="e">
        <f t="shared" si="54"/>
        <v>#DIV/0!</v>
      </c>
      <c r="J340" s="17" t="e">
        <f t="shared" si="55"/>
        <v>#DIV/0!</v>
      </c>
      <c r="K340" s="17" t="e">
        <f t="shared" si="56"/>
        <v>#DIV/0!</v>
      </c>
      <c r="L340" s="17" t="e">
        <f t="shared" si="57"/>
        <v>#DIV/0!</v>
      </c>
      <c r="M340" s="17" t="e">
        <f t="shared" si="58"/>
        <v>#DIV/0!</v>
      </c>
      <c r="N340" s="17" t="e">
        <f t="shared" si="59"/>
        <v>#DIV/0!</v>
      </c>
      <c r="O340" s="17" t="e">
        <f t="shared" si="60"/>
        <v>#DIV/0!</v>
      </c>
    </row>
    <row r="341" spans="4:15" x14ac:dyDescent="0.3">
      <c r="D341" s="17">
        <f>TL!D361</f>
        <v>0</v>
      </c>
      <c r="E341" s="17">
        <f>TL!C361</f>
        <v>0</v>
      </c>
      <c r="F341" s="17" t="e">
        <f t="shared" si="51"/>
        <v>#DIV/0!</v>
      </c>
      <c r="G341" s="17" t="e">
        <f t="shared" si="52"/>
        <v>#DIV/0!</v>
      </c>
      <c r="H341" s="17" t="e">
        <f t="shared" si="53"/>
        <v>#DIV/0!</v>
      </c>
      <c r="I341" s="17" t="e">
        <f t="shared" si="54"/>
        <v>#DIV/0!</v>
      </c>
      <c r="J341" s="17" t="e">
        <f t="shared" si="55"/>
        <v>#DIV/0!</v>
      </c>
      <c r="K341" s="17" t="e">
        <f t="shared" si="56"/>
        <v>#DIV/0!</v>
      </c>
      <c r="L341" s="17" t="e">
        <f t="shared" si="57"/>
        <v>#DIV/0!</v>
      </c>
      <c r="M341" s="17" t="e">
        <f t="shared" si="58"/>
        <v>#DIV/0!</v>
      </c>
      <c r="N341" s="17" t="e">
        <f t="shared" si="59"/>
        <v>#DIV/0!</v>
      </c>
      <c r="O341" s="17" t="e">
        <f t="shared" si="60"/>
        <v>#DIV/0!</v>
      </c>
    </row>
    <row r="342" spans="4:15" x14ac:dyDescent="0.3">
      <c r="D342" s="17">
        <f>TL!D362</f>
        <v>0</v>
      </c>
      <c r="E342" s="17">
        <f>TL!C362</f>
        <v>0</v>
      </c>
      <c r="F342" s="17" t="e">
        <f t="shared" si="51"/>
        <v>#DIV/0!</v>
      </c>
      <c r="G342" s="17" t="e">
        <f t="shared" si="52"/>
        <v>#DIV/0!</v>
      </c>
      <c r="H342" s="17" t="e">
        <f t="shared" si="53"/>
        <v>#DIV/0!</v>
      </c>
      <c r="I342" s="17" t="e">
        <f t="shared" si="54"/>
        <v>#DIV/0!</v>
      </c>
      <c r="J342" s="17" t="e">
        <f t="shared" si="55"/>
        <v>#DIV/0!</v>
      </c>
      <c r="K342" s="17" t="e">
        <f t="shared" si="56"/>
        <v>#DIV/0!</v>
      </c>
      <c r="L342" s="17" t="e">
        <f t="shared" si="57"/>
        <v>#DIV/0!</v>
      </c>
      <c r="M342" s="17" t="e">
        <f t="shared" si="58"/>
        <v>#DIV/0!</v>
      </c>
      <c r="N342" s="17" t="e">
        <f t="shared" si="59"/>
        <v>#DIV/0!</v>
      </c>
      <c r="O342" s="17" t="e">
        <f t="shared" si="60"/>
        <v>#DIV/0!</v>
      </c>
    </row>
    <row r="343" spans="4:15" x14ac:dyDescent="0.3">
      <c r="D343" s="17">
        <f>TL!D363</f>
        <v>0</v>
      </c>
      <c r="E343" s="17">
        <f>TL!C363</f>
        <v>0</v>
      </c>
      <c r="F343" s="17" t="e">
        <f t="shared" si="51"/>
        <v>#DIV/0!</v>
      </c>
      <c r="G343" s="17" t="e">
        <f t="shared" si="52"/>
        <v>#DIV/0!</v>
      </c>
      <c r="H343" s="17" t="e">
        <f t="shared" si="53"/>
        <v>#DIV/0!</v>
      </c>
      <c r="I343" s="17" t="e">
        <f t="shared" si="54"/>
        <v>#DIV/0!</v>
      </c>
      <c r="J343" s="17" t="e">
        <f t="shared" si="55"/>
        <v>#DIV/0!</v>
      </c>
      <c r="K343" s="17" t="e">
        <f t="shared" si="56"/>
        <v>#DIV/0!</v>
      </c>
      <c r="L343" s="17" t="e">
        <f t="shared" si="57"/>
        <v>#DIV/0!</v>
      </c>
      <c r="M343" s="17" t="e">
        <f t="shared" si="58"/>
        <v>#DIV/0!</v>
      </c>
      <c r="N343" s="17" t="e">
        <f t="shared" si="59"/>
        <v>#DIV/0!</v>
      </c>
      <c r="O343" s="17" t="e">
        <f t="shared" si="60"/>
        <v>#DIV/0!</v>
      </c>
    </row>
    <row r="344" spans="4:15" x14ac:dyDescent="0.3">
      <c r="D344" s="17">
        <f>TL!D364</f>
        <v>0</v>
      </c>
      <c r="E344" s="17">
        <f>TL!C364</f>
        <v>0</v>
      </c>
      <c r="F344" s="17" t="e">
        <f t="shared" si="51"/>
        <v>#DIV/0!</v>
      </c>
      <c r="G344" s="17" t="e">
        <f t="shared" si="52"/>
        <v>#DIV/0!</v>
      </c>
      <c r="H344" s="17" t="e">
        <f t="shared" si="53"/>
        <v>#DIV/0!</v>
      </c>
      <c r="I344" s="17" t="e">
        <f t="shared" si="54"/>
        <v>#DIV/0!</v>
      </c>
      <c r="J344" s="17" t="e">
        <f t="shared" si="55"/>
        <v>#DIV/0!</v>
      </c>
      <c r="K344" s="17" t="e">
        <f t="shared" si="56"/>
        <v>#DIV/0!</v>
      </c>
      <c r="L344" s="17" t="e">
        <f t="shared" si="57"/>
        <v>#DIV/0!</v>
      </c>
      <c r="M344" s="17" t="e">
        <f t="shared" si="58"/>
        <v>#DIV/0!</v>
      </c>
      <c r="N344" s="17" t="e">
        <f t="shared" si="59"/>
        <v>#DIV/0!</v>
      </c>
      <c r="O344" s="17" t="e">
        <f t="shared" si="60"/>
        <v>#DIV/0!</v>
      </c>
    </row>
    <row r="345" spans="4:15" x14ac:dyDescent="0.3">
      <c r="D345" s="17">
        <f>TL!D365</f>
        <v>0</v>
      </c>
      <c r="E345" s="17">
        <f>TL!C365</f>
        <v>0</v>
      </c>
      <c r="F345" s="17" t="e">
        <f t="shared" si="51"/>
        <v>#DIV/0!</v>
      </c>
      <c r="G345" s="17" t="e">
        <f t="shared" si="52"/>
        <v>#DIV/0!</v>
      </c>
      <c r="H345" s="17" t="e">
        <f t="shared" si="53"/>
        <v>#DIV/0!</v>
      </c>
      <c r="I345" s="17" t="e">
        <f t="shared" si="54"/>
        <v>#DIV/0!</v>
      </c>
      <c r="J345" s="17" t="e">
        <f t="shared" si="55"/>
        <v>#DIV/0!</v>
      </c>
      <c r="K345" s="17" t="e">
        <f t="shared" si="56"/>
        <v>#DIV/0!</v>
      </c>
      <c r="L345" s="17" t="e">
        <f t="shared" si="57"/>
        <v>#DIV/0!</v>
      </c>
      <c r="M345" s="17" t="e">
        <f t="shared" si="58"/>
        <v>#DIV/0!</v>
      </c>
      <c r="N345" s="17" t="e">
        <f t="shared" si="59"/>
        <v>#DIV/0!</v>
      </c>
      <c r="O345" s="17" t="e">
        <f t="shared" si="60"/>
        <v>#DIV/0!</v>
      </c>
    </row>
    <row r="346" spans="4:15" x14ac:dyDescent="0.3">
      <c r="D346" s="17">
        <f>TL!D366</f>
        <v>0</v>
      </c>
      <c r="E346" s="17">
        <f>TL!C366</f>
        <v>0</v>
      </c>
      <c r="F346" s="17" t="e">
        <f t="shared" si="51"/>
        <v>#DIV/0!</v>
      </c>
      <c r="G346" s="17" t="e">
        <f t="shared" si="52"/>
        <v>#DIV/0!</v>
      </c>
      <c r="H346" s="17" t="e">
        <f t="shared" si="53"/>
        <v>#DIV/0!</v>
      </c>
      <c r="I346" s="17" t="e">
        <f t="shared" si="54"/>
        <v>#DIV/0!</v>
      </c>
      <c r="J346" s="17" t="e">
        <f t="shared" si="55"/>
        <v>#DIV/0!</v>
      </c>
      <c r="K346" s="17" t="e">
        <f t="shared" si="56"/>
        <v>#DIV/0!</v>
      </c>
      <c r="L346" s="17" t="e">
        <f t="shared" si="57"/>
        <v>#DIV/0!</v>
      </c>
      <c r="M346" s="17" t="e">
        <f t="shared" si="58"/>
        <v>#DIV/0!</v>
      </c>
      <c r="N346" s="17" t="e">
        <f t="shared" si="59"/>
        <v>#DIV/0!</v>
      </c>
      <c r="O346" s="17" t="e">
        <f t="shared" si="60"/>
        <v>#DIV/0!</v>
      </c>
    </row>
    <row r="347" spans="4:15" x14ac:dyDescent="0.3">
      <c r="D347" s="17">
        <f>TL!D367</f>
        <v>0</v>
      </c>
      <c r="E347" s="17">
        <f>TL!C367</f>
        <v>0</v>
      </c>
      <c r="F347" s="17" t="e">
        <f t="shared" si="51"/>
        <v>#DIV/0!</v>
      </c>
      <c r="G347" s="17" t="e">
        <f t="shared" si="52"/>
        <v>#DIV/0!</v>
      </c>
      <c r="H347" s="17" t="e">
        <f t="shared" si="53"/>
        <v>#DIV/0!</v>
      </c>
      <c r="I347" s="17" t="e">
        <f t="shared" si="54"/>
        <v>#DIV/0!</v>
      </c>
      <c r="J347" s="17" t="e">
        <f t="shared" si="55"/>
        <v>#DIV/0!</v>
      </c>
      <c r="K347" s="17" t="e">
        <f t="shared" si="56"/>
        <v>#DIV/0!</v>
      </c>
      <c r="L347" s="17" t="e">
        <f t="shared" si="57"/>
        <v>#DIV/0!</v>
      </c>
      <c r="M347" s="17" t="e">
        <f t="shared" si="58"/>
        <v>#DIV/0!</v>
      </c>
      <c r="N347" s="17" t="e">
        <f t="shared" si="59"/>
        <v>#DIV/0!</v>
      </c>
      <c r="O347" s="17" t="e">
        <f t="shared" si="60"/>
        <v>#DIV/0!</v>
      </c>
    </row>
    <row r="348" spans="4:15" x14ac:dyDescent="0.3">
      <c r="D348" s="17">
        <f>TL!D368</f>
        <v>0</v>
      </c>
      <c r="E348" s="17">
        <f>TL!C368</f>
        <v>0</v>
      </c>
      <c r="F348" s="17" t="e">
        <f t="shared" si="51"/>
        <v>#DIV/0!</v>
      </c>
      <c r="G348" s="17" t="e">
        <f t="shared" si="52"/>
        <v>#DIV/0!</v>
      </c>
      <c r="H348" s="17" t="e">
        <f t="shared" si="53"/>
        <v>#DIV/0!</v>
      </c>
      <c r="I348" s="17" t="e">
        <f t="shared" si="54"/>
        <v>#DIV/0!</v>
      </c>
      <c r="J348" s="17" t="e">
        <f t="shared" si="55"/>
        <v>#DIV/0!</v>
      </c>
      <c r="K348" s="17" t="e">
        <f t="shared" si="56"/>
        <v>#DIV/0!</v>
      </c>
      <c r="L348" s="17" t="e">
        <f t="shared" si="57"/>
        <v>#DIV/0!</v>
      </c>
      <c r="M348" s="17" t="e">
        <f t="shared" si="58"/>
        <v>#DIV/0!</v>
      </c>
      <c r="N348" s="17" t="e">
        <f t="shared" si="59"/>
        <v>#DIV/0!</v>
      </c>
      <c r="O348" s="17" t="e">
        <f t="shared" si="60"/>
        <v>#DIV/0!</v>
      </c>
    </row>
    <row r="349" spans="4:15" x14ac:dyDescent="0.3">
      <c r="D349" s="17">
        <f>TL!D369</f>
        <v>0</v>
      </c>
      <c r="E349" s="17">
        <f>TL!C369</f>
        <v>0</v>
      </c>
      <c r="F349" s="17" t="e">
        <f t="shared" si="51"/>
        <v>#DIV/0!</v>
      </c>
      <c r="G349" s="17" t="e">
        <f t="shared" si="52"/>
        <v>#DIV/0!</v>
      </c>
      <c r="H349" s="17" t="e">
        <f t="shared" si="53"/>
        <v>#DIV/0!</v>
      </c>
      <c r="I349" s="17" t="e">
        <f t="shared" si="54"/>
        <v>#DIV/0!</v>
      </c>
      <c r="J349" s="17" t="e">
        <f t="shared" si="55"/>
        <v>#DIV/0!</v>
      </c>
      <c r="K349" s="17" t="e">
        <f t="shared" si="56"/>
        <v>#DIV/0!</v>
      </c>
      <c r="L349" s="17" t="e">
        <f t="shared" si="57"/>
        <v>#DIV/0!</v>
      </c>
      <c r="M349" s="17" t="e">
        <f t="shared" si="58"/>
        <v>#DIV/0!</v>
      </c>
      <c r="N349" s="17" t="e">
        <f t="shared" si="59"/>
        <v>#DIV/0!</v>
      </c>
      <c r="O349" s="17" t="e">
        <f t="shared" si="60"/>
        <v>#DIV/0!</v>
      </c>
    </row>
    <row r="350" spans="4:15" x14ac:dyDescent="0.3">
      <c r="D350" s="17">
        <f>TL!D370</f>
        <v>0</v>
      </c>
      <c r="E350" s="17">
        <f>TL!C370</f>
        <v>0</v>
      </c>
      <c r="F350" s="17" t="e">
        <f t="shared" si="51"/>
        <v>#DIV/0!</v>
      </c>
      <c r="G350" s="17" t="e">
        <f t="shared" si="52"/>
        <v>#DIV/0!</v>
      </c>
      <c r="H350" s="17" t="e">
        <f t="shared" si="53"/>
        <v>#DIV/0!</v>
      </c>
      <c r="I350" s="17" t="e">
        <f t="shared" si="54"/>
        <v>#DIV/0!</v>
      </c>
      <c r="J350" s="17" t="e">
        <f t="shared" si="55"/>
        <v>#DIV/0!</v>
      </c>
      <c r="K350" s="17" t="e">
        <f t="shared" si="56"/>
        <v>#DIV/0!</v>
      </c>
      <c r="L350" s="17" t="e">
        <f t="shared" si="57"/>
        <v>#DIV/0!</v>
      </c>
      <c r="M350" s="17" t="e">
        <f t="shared" si="58"/>
        <v>#DIV/0!</v>
      </c>
      <c r="N350" s="17" t="e">
        <f t="shared" si="59"/>
        <v>#DIV/0!</v>
      </c>
      <c r="O350" s="17" t="e">
        <f t="shared" si="60"/>
        <v>#DIV/0!</v>
      </c>
    </row>
    <row r="351" spans="4:15" x14ac:dyDescent="0.3">
      <c r="D351" s="17">
        <f>TL!D371</f>
        <v>0</v>
      </c>
      <c r="E351" s="17">
        <f>TL!C371</f>
        <v>0</v>
      </c>
      <c r="F351" s="17" t="e">
        <f t="shared" si="51"/>
        <v>#DIV/0!</v>
      </c>
      <c r="G351" s="17" t="e">
        <f t="shared" si="52"/>
        <v>#DIV/0!</v>
      </c>
      <c r="H351" s="17" t="e">
        <f t="shared" si="53"/>
        <v>#DIV/0!</v>
      </c>
      <c r="I351" s="17" t="e">
        <f t="shared" si="54"/>
        <v>#DIV/0!</v>
      </c>
      <c r="J351" s="17" t="e">
        <f t="shared" si="55"/>
        <v>#DIV/0!</v>
      </c>
      <c r="K351" s="17" t="e">
        <f t="shared" si="56"/>
        <v>#DIV/0!</v>
      </c>
      <c r="L351" s="17" t="e">
        <f t="shared" si="57"/>
        <v>#DIV/0!</v>
      </c>
      <c r="M351" s="17" t="e">
        <f t="shared" si="58"/>
        <v>#DIV/0!</v>
      </c>
      <c r="N351" s="17" t="e">
        <f t="shared" si="59"/>
        <v>#DIV/0!</v>
      </c>
      <c r="O351" s="17" t="e">
        <f t="shared" si="60"/>
        <v>#DIV/0!</v>
      </c>
    </row>
    <row r="352" spans="4:15" x14ac:dyDescent="0.3">
      <c r="D352" s="17">
        <f>TL!D372</f>
        <v>0</v>
      </c>
      <c r="E352" s="17">
        <f>TL!C372</f>
        <v>0</v>
      </c>
      <c r="F352" s="17" t="e">
        <f t="shared" si="51"/>
        <v>#DIV/0!</v>
      </c>
      <c r="G352" s="17" t="e">
        <f t="shared" si="52"/>
        <v>#DIV/0!</v>
      </c>
      <c r="H352" s="17" t="e">
        <f t="shared" si="53"/>
        <v>#DIV/0!</v>
      </c>
      <c r="I352" s="17" t="e">
        <f t="shared" si="54"/>
        <v>#DIV/0!</v>
      </c>
      <c r="J352" s="17" t="e">
        <f t="shared" si="55"/>
        <v>#DIV/0!</v>
      </c>
      <c r="K352" s="17" t="e">
        <f t="shared" si="56"/>
        <v>#DIV/0!</v>
      </c>
      <c r="L352" s="17" t="e">
        <f t="shared" si="57"/>
        <v>#DIV/0!</v>
      </c>
      <c r="M352" s="17" t="e">
        <f t="shared" si="58"/>
        <v>#DIV/0!</v>
      </c>
      <c r="N352" s="17" t="e">
        <f t="shared" si="59"/>
        <v>#DIV/0!</v>
      </c>
      <c r="O352" s="17" t="e">
        <f t="shared" si="60"/>
        <v>#DIV/0!</v>
      </c>
    </row>
    <row r="353" spans="4:15" x14ac:dyDescent="0.3">
      <c r="D353" s="17">
        <f>TL!D373</f>
        <v>0</v>
      </c>
      <c r="E353" s="17">
        <f>TL!C373</f>
        <v>0</v>
      </c>
      <c r="F353" s="17" t="e">
        <f t="shared" si="51"/>
        <v>#DIV/0!</v>
      </c>
      <c r="G353" s="17" t="e">
        <f t="shared" si="52"/>
        <v>#DIV/0!</v>
      </c>
      <c r="H353" s="17" t="e">
        <f t="shared" si="53"/>
        <v>#DIV/0!</v>
      </c>
      <c r="I353" s="17" t="e">
        <f t="shared" si="54"/>
        <v>#DIV/0!</v>
      </c>
      <c r="J353" s="17" t="e">
        <f t="shared" si="55"/>
        <v>#DIV/0!</v>
      </c>
      <c r="K353" s="17" t="e">
        <f t="shared" si="56"/>
        <v>#DIV/0!</v>
      </c>
      <c r="L353" s="17" t="e">
        <f t="shared" si="57"/>
        <v>#DIV/0!</v>
      </c>
      <c r="M353" s="17" t="e">
        <f t="shared" si="58"/>
        <v>#DIV/0!</v>
      </c>
      <c r="N353" s="17" t="e">
        <f t="shared" si="59"/>
        <v>#DIV/0!</v>
      </c>
      <c r="O353" s="17" t="e">
        <f t="shared" si="60"/>
        <v>#DIV/0!</v>
      </c>
    </row>
    <row r="354" spans="4:15" x14ac:dyDescent="0.3">
      <c r="D354" s="17">
        <f>TL!D374</f>
        <v>0</v>
      </c>
      <c r="E354" s="17">
        <f>TL!C374</f>
        <v>0</v>
      </c>
      <c r="F354" s="17" t="e">
        <f t="shared" si="51"/>
        <v>#DIV/0!</v>
      </c>
      <c r="G354" s="17" t="e">
        <f t="shared" si="52"/>
        <v>#DIV/0!</v>
      </c>
      <c r="H354" s="17" t="e">
        <f t="shared" si="53"/>
        <v>#DIV/0!</v>
      </c>
      <c r="I354" s="17" t="e">
        <f t="shared" si="54"/>
        <v>#DIV/0!</v>
      </c>
      <c r="J354" s="17" t="e">
        <f t="shared" si="55"/>
        <v>#DIV/0!</v>
      </c>
      <c r="K354" s="17" t="e">
        <f t="shared" si="56"/>
        <v>#DIV/0!</v>
      </c>
      <c r="L354" s="17" t="e">
        <f t="shared" si="57"/>
        <v>#DIV/0!</v>
      </c>
      <c r="M354" s="17" t="e">
        <f t="shared" si="58"/>
        <v>#DIV/0!</v>
      </c>
      <c r="N354" s="17" t="e">
        <f t="shared" si="59"/>
        <v>#DIV/0!</v>
      </c>
      <c r="O354" s="17" t="e">
        <f t="shared" si="60"/>
        <v>#DIV/0!</v>
      </c>
    </row>
    <row r="355" spans="4:15" x14ac:dyDescent="0.3">
      <c r="D355" s="17">
        <f>TL!D375</f>
        <v>0</v>
      </c>
      <c r="E355" s="17">
        <f>TL!C375</f>
        <v>0</v>
      </c>
      <c r="F355" s="17" t="e">
        <f t="shared" si="51"/>
        <v>#DIV/0!</v>
      </c>
      <c r="G355" s="17" t="e">
        <f t="shared" si="52"/>
        <v>#DIV/0!</v>
      </c>
      <c r="H355" s="17" t="e">
        <f t="shared" si="53"/>
        <v>#DIV/0!</v>
      </c>
      <c r="I355" s="17" t="e">
        <f t="shared" si="54"/>
        <v>#DIV/0!</v>
      </c>
      <c r="J355" s="17" t="e">
        <f t="shared" si="55"/>
        <v>#DIV/0!</v>
      </c>
      <c r="K355" s="17" t="e">
        <f t="shared" si="56"/>
        <v>#DIV/0!</v>
      </c>
      <c r="L355" s="17" t="e">
        <f t="shared" si="57"/>
        <v>#DIV/0!</v>
      </c>
      <c r="M355" s="17" t="e">
        <f t="shared" si="58"/>
        <v>#DIV/0!</v>
      </c>
      <c r="N355" s="17" t="e">
        <f t="shared" si="59"/>
        <v>#DIV/0!</v>
      </c>
      <c r="O355" s="17" t="e">
        <f t="shared" si="60"/>
        <v>#DIV/0!</v>
      </c>
    </row>
    <row r="356" spans="4:15" x14ac:dyDescent="0.3">
      <c r="D356" s="17">
        <f>TL!D376</f>
        <v>0</v>
      </c>
      <c r="E356" s="17">
        <f>TL!C376</f>
        <v>0</v>
      </c>
      <c r="F356" s="17" t="e">
        <f t="shared" si="51"/>
        <v>#DIV/0!</v>
      </c>
      <c r="G356" s="17" t="e">
        <f t="shared" si="52"/>
        <v>#DIV/0!</v>
      </c>
      <c r="H356" s="17" t="e">
        <f t="shared" si="53"/>
        <v>#DIV/0!</v>
      </c>
      <c r="I356" s="17" t="e">
        <f t="shared" si="54"/>
        <v>#DIV/0!</v>
      </c>
      <c r="J356" s="17" t="e">
        <f t="shared" si="55"/>
        <v>#DIV/0!</v>
      </c>
      <c r="K356" s="17" t="e">
        <f t="shared" si="56"/>
        <v>#DIV/0!</v>
      </c>
      <c r="L356" s="17" t="e">
        <f t="shared" si="57"/>
        <v>#DIV/0!</v>
      </c>
      <c r="M356" s="17" t="e">
        <f t="shared" si="58"/>
        <v>#DIV/0!</v>
      </c>
      <c r="N356" s="17" t="e">
        <f t="shared" si="59"/>
        <v>#DIV/0!</v>
      </c>
      <c r="O356" s="17" t="e">
        <f t="shared" si="60"/>
        <v>#DIV/0!</v>
      </c>
    </row>
    <row r="357" spans="4:15" x14ac:dyDescent="0.3">
      <c r="D357" s="17">
        <f>TL!D377</f>
        <v>0</v>
      </c>
      <c r="E357" s="17">
        <f>TL!C377</f>
        <v>0</v>
      </c>
      <c r="F357" s="17" t="e">
        <f t="shared" si="51"/>
        <v>#DIV/0!</v>
      </c>
      <c r="G357" s="17" t="e">
        <f t="shared" si="52"/>
        <v>#DIV/0!</v>
      </c>
      <c r="H357" s="17" t="e">
        <f t="shared" si="53"/>
        <v>#DIV/0!</v>
      </c>
      <c r="I357" s="17" t="e">
        <f t="shared" si="54"/>
        <v>#DIV/0!</v>
      </c>
      <c r="J357" s="17" t="e">
        <f t="shared" si="55"/>
        <v>#DIV/0!</v>
      </c>
      <c r="K357" s="17" t="e">
        <f t="shared" si="56"/>
        <v>#DIV/0!</v>
      </c>
      <c r="L357" s="17" t="e">
        <f t="shared" si="57"/>
        <v>#DIV/0!</v>
      </c>
      <c r="M357" s="17" t="e">
        <f t="shared" si="58"/>
        <v>#DIV/0!</v>
      </c>
      <c r="N357" s="17" t="e">
        <f t="shared" si="59"/>
        <v>#DIV/0!</v>
      </c>
      <c r="O357" s="17" t="e">
        <f t="shared" si="60"/>
        <v>#DIV/0!</v>
      </c>
    </row>
    <row r="358" spans="4:15" x14ac:dyDescent="0.3">
      <c r="D358" s="17">
        <f>TL!D378</f>
        <v>0</v>
      </c>
      <c r="E358" s="17">
        <f>TL!C378</f>
        <v>0</v>
      </c>
      <c r="F358" s="17" t="e">
        <f t="shared" si="51"/>
        <v>#DIV/0!</v>
      </c>
      <c r="G358" s="17" t="e">
        <f t="shared" si="52"/>
        <v>#DIV/0!</v>
      </c>
      <c r="H358" s="17" t="e">
        <f t="shared" si="53"/>
        <v>#DIV/0!</v>
      </c>
      <c r="I358" s="17" t="e">
        <f t="shared" si="54"/>
        <v>#DIV/0!</v>
      </c>
      <c r="J358" s="17" t="e">
        <f t="shared" si="55"/>
        <v>#DIV/0!</v>
      </c>
      <c r="K358" s="17" t="e">
        <f t="shared" si="56"/>
        <v>#DIV/0!</v>
      </c>
      <c r="L358" s="17" t="e">
        <f t="shared" si="57"/>
        <v>#DIV/0!</v>
      </c>
      <c r="M358" s="17" t="e">
        <f t="shared" si="58"/>
        <v>#DIV/0!</v>
      </c>
      <c r="N358" s="17" t="e">
        <f t="shared" si="59"/>
        <v>#DIV/0!</v>
      </c>
      <c r="O358" s="17" t="e">
        <f t="shared" si="60"/>
        <v>#DIV/0!</v>
      </c>
    </row>
    <row r="359" spans="4:15" x14ac:dyDescent="0.3">
      <c r="D359" s="17">
        <f>TL!D379</f>
        <v>0</v>
      </c>
      <c r="E359" s="17">
        <f>TL!C379</f>
        <v>0</v>
      </c>
      <c r="F359" s="17" t="e">
        <f t="shared" si="51"/>
        <v>#DIV/0!</v>
      </c>
      <c r="G359" s="17" t="e">
        <f t="shared" si="52"/>
        <v>#DIV/0!</v>
      </c>
      <c r="H359" s="17" t="e">
        <f t="shared" si="53"/>
        <v>#DIV/0!</v>
      </c>
      <c r="I359" s="17" t="e">
        <f t="shared" si="54"/>
        <v>#DIV/0!</v>
      </c>
      <c r="J359" s="17" t="e">
        <f t="shared" si="55"/>
        <v>#DIV/0!</v>
      </c>
      <c r="K359" s="17" t="e">
        <f t="shared" si="56"/>
        <v>#DIV/0!</v>
      </c>
      <c r="L359" s="17" t="e">
        <f t="shared" si="57"/>
        <v>#DIV/0!</v>
      </c>
      <c r="M359" s="17" t="e">
        <f t="shared" si="58"/>
        <v>#DIV/0!</v>
      </c>
      <c r="N359" s="17" t="e">
        <f t="shared" si="59"/>
        <v>#DIV/0!</v>
      </c>
      <c r="O359" s="17" t="e">
        <f t="shared" si="60"/>
        <v>#DIV/0!</v>
      </c>
    </row>
    <row r="360" spans="4:15" x14ac:dyDescent="0.3">
      <c r="D360" s="17">
        <f>TL!D380</f>
        <v>0</v>
      </c>
      <c r="E360" s="17">
        <f>TL!C380</f>
        <v>0</v>
      </c>
      <c r="F360" s="17" t="e">
        <f t="shared" si="51"/>
        <v>#DIV/0!</v>
      </c>
      <c r="G360" s="17" t="e">
        <f t="shared" si="52"/>
        <v>#DIV/0!</v>
      </c>
      <c r="H360" s="17" t="e">
        <f t="shared" si="53"/>
        <v>#DIV/0!</v>
      </c>
      <c r="I360" s="17" t="e">
        <f t="shared" si="54"/>
        <v>#DIV/0!</v>
      </c>
      <c r="J360" s="17" t="e">
        <f t="shared" si="55"/>
        <v>#DIV/0!</v>
      </c>
      <c r="K360" s="17" t="e">
        <f t="shared" si="56"/>
        <v>#DIV/0!</v>
      </c>
      <c r="L360" s="17" t="e">
        <f t="shared" si="57"/>
        <v>#DIV/0!</v>
      </c>
      <c r="M360" s="17" t="e">
        <f t="shared" si="58"/>
        <v>#DIV/0!</v>
      </c>
      <c r="N360" s="17" t="e">
        <f t="shared" si="59"/>
        <v>#DIV/0!</v>
      </c>
      <c r="O360" s="17" t="e">
        <f t="shared" si="60"/>
        <v>#DIV/0!</v>
      </c>
    </row>
    <row r="361" spans="4:15" x14ac:dyDescent="0.3">
      <c r="D361" s="17">
        <f>TL!D381</f>
        <v>0</v>
      </c>
      <c r="E361" s="17">
        <f>TL!C381</f>
        <v>0</v>
      </c>
      <c r="F361" s="17" t="e">
        <f t="shared" si="51"/>
        <v>#DIV/0!</v>
      </c>
      <c r="G361" s="17" t="e">
        <f t="shared" si="52"/>
        <v>#DIV/0!</v>
      </c>
      <c r="H361" s="17" t="e">
        <f t="shared" si="53"/>
        <v>#DIV/0!</v>
      </c>
      <c r="I361" s="17" t="e">
        <f t="shared" si="54"/>
        <v>#DIV/0!</v>
      </c>
      <c r="J361" s="17" t="e">
        <f t="shared" si="55"/>
        <v>#DIV/0!</v>
      </c>
      <c r="K361" s="17" t="e">
        <f t="shared" si="56"/>
        <v>#DIV/0!</v>
      </c>
      <c r="L361" s="17" t="e">
        <f t="shared" si="57"/>
        <v>#DIV/0!</v>
      </c>
      <c r="M361" s="17" t="e">
        <f t="shared" si="58"/>
        <v>#DIV/0!</v>
      </c>
      <c r="N361" s="17" t="e">
        <f t="shared" si="59"/>
        <v>#DIV/0!</v>
      </c>
      <c r="O361" s="17" t="e">
        <f t="shared" si="60"/>
        <v>#DIV/0!</v>
      </c>
    </row>
    <row r="362" spans="4:15" x14ac:dyDescent="0.3">
      <c r="D362" s="17">
        <f>TL!D382</f>
        <v>0</v>
      </c>
      <c r="E362" s="17">
        <f>TL!C382</f>
        <v>0</v>
      </c>
      <c r="F362" s="17" t="e">
        <f t="shared" si="51"/>
        <v>#DIV/0!</v>
      </c>
      <c r="G362" s="17" t="e">
        <f t="shared" si="52"/>
        <v>#DIV/0!</v>
      </c>
      <c r="H362" s="17" t="e">
        <f t="shared" si="53"/>
        <v>#DIV/0!</v>
      </c>
      <c r="I362" s="17" t="e">
        <f t="shared" si="54"/>
        <v>#DIV/0!</v>
      </c>
      <c r="J362" s="17" t="e">
        <f t="shared" si="55"/>
        <v>#DIV/0!</v>
      </c>
      <c r="K362" s="17" t="e">
        <f t="shared" si="56"/>
        <v>#DIV/0!</v>
      </c>
      <c r="L362" s="17" t="e">
        <f t="shared" si="57"/>
        <v>#DIV/0!</v>
      </c>
      <c r="M362" s="17" t="e">
        <f t="shared" si="58"/>
        <v>#DIV/0!</v>
      </c>
      <c r="N362" s="17" t="e">
        <f t="shared" si="59"/>
        <v>#DIV/0!</v>
      </c>
      <c r="O362" s="17" t="e">
        <f t="shared" si="60"/>
        <v>#DIV/0!</v>
      </c>
    </row>
    <row r="363" spans="4:15" x14ac:dyDescent="0.3">
      <c r="D363" s="17">
        <f>TL!D383</f>
        <v>0</v>
      </c>
      <c r="E363" s="17">
        <f>TL!C383</f>
        <v>0</v>
      </c>
      <c r="F363" s="17" t="e">
        <f t="shared" si="51"/>
        <v>#DIV/0!</v>
      </c>
      <c r="G363" s="17" t="e">
        <f t="shared" si="52"/>
        <v>#DIV/0!</v>
      </c>
      <c r="H363" s="17" t="e">
        <f t="shared" si="53"/>
        <v>#DIV/0!</v>
      </c>
      <c r="I363" s="17" t="e">
        <f t="shared" si="54"/>
        <v>#DIV/0!</v>
      </c>
      <c r="J363" s="17" t="e">
        <f t="shared" si="55"/>
        <v>#DIV/0!</v>
      </c>
      <c r="K363" s="17" t="e">
        <f t="shared" si="56"/>
        <v>#DIV/0!</v>
      </c>
      <c r="L363" s="17" t="e">
        <f t="shared" si="57"/>
        <v>#DIV/0!</v>
      </c>
      <c r="M363" s="17" t="e">
        <f t="shared" si="58"/>
        <v>#DIV/0!</v>
      </c>
      <c r="N363" s="17" t="e">
        <f t="shared" si="59"/>
        <v>#DIV/0!</v>
      </c>
      <c r="O363" s="17" t="e">
        <f t="shared" si="60"/>
        <v>#DIV/0!</v>
      </c>
    </row>
    <row r="364" spans="4:15" x14ac:dyDescent="0.3">
      <c r="D364" s="17">
        <f>TL!D384</f>
        <v>0</v>
      </c>
      <c r="E364" s="17">
        <f>TL!C384</f>
        <v>0</v>
      </c>
      <c r="F364" s="17" t="e">
        <f t="shared" si="51"/>
        <v>#DIV/0!</v>
      </c>
      <c r="G364" s="17" t="e">
        <f t="shared" si="52"/>
        <v>#DIV/0!</v>
      </c>
      <c r="H364" s="17" t="e">
        <f t="shared" si="53"/>
        <v>#DIV/0!</v>
      </c>
      <c r="I364" s="17" t="e">
        <f t="shared" si="54"/>
        <v>#DIV/0!</v>
      </c>
      <c r="J364" s="17" t="e">
        <f t="shared" si="55"/>
        <v>#DIV/0!</v>
      </c>
      <c r="K364" s="17" t="e">
        <f t="shared" si="56"/>
        <v>#DIV/0!</v>
      </c>
      <c r="L364" s="17" t="e">
        <f t="shared" si="57"/>
        <v>#DIV/0!</v>
      </c>
      <c r="M364" s="17" t="e">
        <f t="shared" si="58"/>
        <v>#DIV/0!</v>
      </c>
      <c r="N364" s="17" t="e">
        <f t="shared" si="59"/>
        <v>#DIV/0!</v>
      </c>
      <c r="O364" s="17" t="e">
        <f t="shared" si="60"/>
        <v>#DIV/0!</v>
      </c>
    </row>
    <row r="365" spans="4:15" x14ac:dyDescent="0.3">
      <c r="D365" s="17"/>
    </row>
    <row r="366" spans="4:15" x14ac:dyDescent="0.3">
      <c r="D366" s="17"/>
    </row>
    <row r="367" spans="4:15" x14ac:dyDescent="0.3">
      <c r="D367" s="17"/>
    </row>
    <row r="368" spans="4:15" x14ac:dyDescent="0.3">
      <c r="D368" s="17"/>
    </row>
    <row r="369" spans="4:4" x14ac:dyDescent="0.3">
      <c r="D369" s="17"/>
    </row>
    <row r="370" spans="4:4" x14ac:dyDescent="0.3">
      <c r="D370" s="17"/>
    </row>
    <row r="371" spans="4:4" x14ac:dyDescent="0.3">
      <c r="D371" s="17"/>
    </row>
    <row r="372" spans="4:4" x14ac:dyDescent="0.3">
      <c r="D372" s="17"/>
    </row>
    <row r="373" spans="4:4" x14ac:dyDescent="0.3">
      <c r="D373" s="17"/>
    </row>
    <row r="374" spans="4:4" x14ac:dyDescent="0.3">
      <c r="D374" s="17"/>
    </row>
    <row r="375" spans="4:4" x14ac:dyDescent="0.3">
      <c r="D375" s="17"/>
    </row>
    <row r="376" spans="4:4" x14ac:dyDescent="0.3">
      <c r="D376" s="17"/>
    </row>
    <row r="377" spans="4:4" x14ac:dyDescent="0.3">
      <c r="D377" s="17"/>
    </row>
    <row r="378" spans="4:4" x14ac:dyDescent="0.3">
      <c r="D378" s="17"/>
    </row>
    <row r="379" spans="4:4" x14ac:dyDescent="0.3">
      <c r="D379" s="17"/>
    </row>
    <row r="380" spans="4:4" x14ac:dyDescent="0.3">
      <c r="D380" s="17"/>
    </row>
    <row r="381" spans="4:4" x14ac:dyDescent="0.3">
      <c r="D381" s="17"/>
    </row>
    <row r="382" spans="4:4" x14ac:dyDescent="0.3">
      <c r="D382" s="17"/>
    </row>
    <row r="383" spans="4:4" x14ac:dyDescent="0.3">
      <c r="D383" s="17"/>
    </row>
    <row r="384" spans="4:4" x14ac:dyDescent="0.3">
      <c r="D384" s="17"/>
    </row>
    <row r="385" spans="4:4" x14ac:dyDescent="0.3">
      <c r="D385" s="17"/>
    </row>
    <row r="386" spans="4:4" x14ac:dyDescent="0.3">
      <c r="D386" s="17"/>
    </row>
    <row r="387" spans="4:4" x14ac:dyDescent="0.3">
      <c r="D387" s="17"/>
    </row>
    <row r="388" spans="4:4" x14ac:dyDescent="0.3">
      <c r="D388" s="17"/>
    </row>
    <row r="389" spans="4:4" x14ac:dyDescent="0.3">
      <c r="D389" s="17"/>
    </row>
    <row r="390" spans="4:4" x14ac:dyDescent="0.3">
      <c r="D390" s="17"/>
    </row>
    <row r="391" spans="4:4" x14ac:dyDescent="0.3">
      <c r="D391" s="17"/>
    </row>
    <row r="392" spans="4:4" x14ac:dyDescent="0.3">
      <c r="D392" s="17"/>
    </row>
    <row r="393" spans="4:4" x14ac:dyDescent="0.3">
      <c r="D393" s="17"/>
    </row>
    <row r="394" spans="4:4" x14ac:dyDescent="0.3">
      <c r="D394" s="17"/>
    </row>
    <row r="395" spans="4:4" x14ac:dyDescent="0.3">
      <c r="D395" s="17"/>
    </row>
    <row r="396" spans="4:4" x14ac:dyDescent="0.3">
      <c r="D396" s="17"/>
    </row>
    <row r="397" spans="4:4" x14ac:dyDescent="0.3">
      <c r="D397" s="17"/>
    </row>
    <row r="398" spans="4:4" x14ac:dyDescent="0.3">
      <c r="D398" s="17"/>
    </row>
    <row r="399" spans="4:4" x14ac:dyDescent="0.3">
      <c r="D399" s="17"/>
    </row>
    <row r="400" spans="4:4" x14ac:dyDescent="0.3">
      <c r="D400" s="17"/>
    </row>
    <row r="401" spans="4:4" x14ac:dyDescent="0.3">
      <c r="D401" s="17"/>
    </row>
    <row r="402" spans="4:4" x14ac:dyDescent="0.3">
      <c r="D402" s="17"/>
    </row>
    <row r="403" spans="4:4" x14ac:dyDescent="0.3">
      <c r="D403" s="17"/>
    </row>
    <row r="404" spans="4:4" x14ac:dyDescent="0.3">
      <c r="D404" s="17"/>
    </row>
    <row r="405" spans="4:4" x14ac:dyDescent="0.3">
      <c r="D405" s="17"/>
    </row>
    <row r="406" spans="4:4" x14ac:dyDescent="0.3">
      <c r="D406" s="17"/>
    </row>
    <row r="407" spans="4:4" x14ac:dyDescent="0.3">
      <c r="D407" s="17"/>
    </row>
    <row r="408" spans="4:4" x14ac:dyDescent="0.3">
      <c r="D408" s="17"/>
    </row>
    <row r="409" spans="4:4" x14ac:dyDescent="0.3">
      <c r="D409" s="17"/>
    </row>
    <row r="410" spans="4:4" x14ac:dyDescent="0.3">
      <c r="D410" s="17"/>
    </row>
    <row r="411" spans="4:4" x14ac:dyDescent="0.3">
      <c r="D411" s="17"/>
    </row>
    <row r="412" spans="4:4" x14ac:dyDescent="0.3">
      <c r="D412" s="17"/>
    </row>
    <row r="413" spans="4:4" x14ac:dyDescent="0.3">
      <c r="D413" s="17"/>
    </row>
    <row r="414" spans="4:4" x14ac:dyDescent="0.3">
      <c r="D414" s="17"/>
    </row>
    <row r="415" spans="4:4" x14ac:dyDescent="0.3">
      <c r="D415" s="17"/>
    </row>
    <row r="416" spans="4:4" x14ac:dyDescent="0.3">
      <c r="D416" s="17"/>
    </row>
    <row r="417" spans="4:4" x14ac:dyDescent="0.3">
      <c r="D417" s="17"/>
    </row>
    <row r="418" spans="4:4" x14ac:dyDescent="0.3">
      <c r="D418" s="17"/>
    </row>
    <row r="419" spans="4:4" x14ac:dyDescent="0.3">
      <c r="D419" s="17"/>
    </row>
    <row r="420" spans="4:4" x14ac:dyDescent="0.3">
      <c r="D420" s="17"/>
    </row>
    <row r="421" spans="4:4" x14ac:dyDescent="0.3">
      <c r="D421" s="17"/>
    </row>
    <row r="422" spans="4:4" x14ac:dyDescent="0.3">
      <c r="D422" s="17"/>
    </row>
    <row r="423" spans="4:4" x14ac:dyDescent="0.3">
      <c r="D423" s="17"/>
    </row>
    <row r="424" spans="4:4" x14ac:dyDescent="0.3">
      <c r="D424" s="17"/>
    </row>
    <row r="425" spans="4:4" x14ac:dyDescent="0.3">
      <c r="D425" s="17"/>
    </row>
    <row r="426" spans="4:4" x14ac:dyDescent="0.3">
      <c r="D426" s="17"/>
    </row>
    <row r="427" spans="4:4" x14ac:dyDescent="0.3">
      <c r="D427" s="17"/>
    </row>
    <row r="428" spans="4:4" x14ac:dyDescent="0.3">
      <c r="D428" s="17"/>
    </row>
    <row r="429" spans="4:4" x14ac:dyDescent="0.3">
      <c r="D429" s="17"/>
    </row>
    <row r="430" spans="4:4" x14ac:dyDescent="0.3">
      <c r="D430" s="17"/>
    </row>
    <row r="431" spans="4:4" x14ac:dyDescent="0.3">
      <c r="D431" s="17"/>
    </row>
    <row r="432" spans="4:4" x14ac:dyDescent="0.3">
      <c r="D432" s="17"/>
    </row>
    <row r="433" spans="4:4" x14ac:dyDescent="0.3">
      <c r="D433" s="17"/>
    </row>
    <row r="434" spans="4:4" x14ac:dyDescent="0.3">
      <c r="D434" s="17"/>
    </row>
    <row r="435" spans="4:4" x14ac:dyDescent="0.3">
      <c r="D435" s="17"/>
    </row>
    <row r="436" spans="4:4" x14ac:dyDescent="0.3">
      <c r="D436" s="17"/>
    </row>
    <row r="437" spans="4:4" x14ac:dyDescent="0.3">
      <c r="D437" s="17"/>
    </row>
    <row r="438" spans="4:4" x14ac:dyDescent="0.3">
      <c r="D438" s="17"/>
    </row>
    <row r="439" spans="4:4" x14ac:dyDescent="0.3">
      <c r="D439" s="17"/>
    </row>
    <row r="440" spans="4:4" x14ac:dyDescent="0.3">
      <c r="D440" s="17"/>
    </row>
    <row r="441" spans="4:4" x14ac:dyDescent="0.3">
      <c r="D441" s="17"/>
    </row>
    <row r="442" spans="4:4" x14ac:dyDescent="0.3">
      <c r="D442" s="17"/>
    </row>
    <row r="443" spans="4:4" x14ac:dyDescent="0.3">
      <c r="D443" s="17"/>
    </row>
    <row r="444" spans="4:4" x14ac:dyDescent="0.3">
      <c r="D444" s="17"/>
    </row>
    <row r="445" spans="4:4" x14ac:dyDescent="0.3">
      <c r="D445" s="17"/>
    </row>
    <row r="446" spans="4:4" x14ac:dyDescent="0.3">
      <c r="D446" s="17"/>
    </row>
    <row r="447" spans="4:4" x14ac:dyDescent="0.3">
      <c r="D447" s="17"/>
    </row>
    <row r="448" spans="4:4" x14ac:dyDescent="0.3">
      <c r="D448" s="17"/>
    </row>
    <row r="449" spans="4:4" x14ac:dyDescent="0.3">
      <c r="D449" s="17"/>
    </row>
    <row r="450" spans="4:4" x14ac:dyDescent="0.3">
      <c r="D450" s="17"/>
    </row>
    <row r="451" spans="4:4" x14ac:dyDescent="0.3">
      <c r="D451" s="17"/>
    </row>
    <row r="452" spans="4:4" x14ac:dyDescent="0.3">
      <c r="D452" s="17"/>
    </row>
    <row r="453" spans="4:4" x14ac:dyDescent="0.3">
      <c r="D453" s="17"/>
    </row>
    <row r="454" spans="4:4" x14ac:dyDescent="0.3">
      <c r="D454" s="17"/>
    </row>
    <row r="455" spans="4:4" x14ac:dyDescent="0.3">
      <c r="D455" s="17"/>
    </row>
    <row r="456" spans="4:4" x14ac:dyDescent="0.3">
      <c r="D456" s="17"/>
    </row>
    <row r="457" spans="4:4" x14ac:dyDescent="0.3">
      <c r="D457" s="17"/>
    </row>
    <row r="458" spans="4:4" x14ac:dyDescent="0.3">
      <c r="D458" s="17"/>
    </row>
    <row r="459" spans="4:4" x14ac:dyDescent="0.3">
      <c r="D459" s="17"/>
    </row>
    <row r="460" spans="4:4" x14ac:dyDescent="0.3">
      <c r="D460" s="17"/>
    </row>
    <row r="461" spans="4:4" x14ac:dyDescent="0.3">
      <c r="D461" s="17"/>
    </row>
    <row r="462" spans="4:4" x14ac:dyDescent="0.3">
      <c r="D462" s="17"/>
    </row>
    <row r="463" spans="4:4" x14ac:dyDescent="0.3">
      <c r="D463" s="17"/>
    </row>
    <row r="464" spans="4:4" x14ac:dyDescent="0.3">
      <c r="D464" s="17"/>
    </row>
    <row r="465" spans="4:4" x14ac:dyDescent="0.3">
      <c r="D465" s="17"/>
    </row>
    <row r="466" spans="4:4" x14ac:dyDescent="0.3">
      <c r="D466" s="17"/>
    </row>
    <row r="467" spans="4:4" x14ac:dyDescent="0.3">
      <c r="D467" s="17"/>
    </row>
    <row r="468" spans="4:4" x14ac:dyDescent="0.3">
      <c r="D468" s="17"/>
    </row>
    <row r="469" spans="4:4" x14ac:dyDescent="0.3">
      <c r="D469" s="17"/>
    </row>
    <row r="470" spans="4:4" x14ac:dyDescent="0.3">
      <c r="D470" s="17"/>
    </row>
    <row r="471" spans="4:4" x14ac:dyDescent="0.3">
      <c r="D471" s="17"/>
    </row>
    <row r="472" spans="4:4" x14ac:dyDescent="0.3">
      <c r="D472" s="17"/>
    </row>
    <row r="473" spans="4:4" x14ac:dyDescent="0.3">
      <c r="D473" s="17"/>
    </row>
    <row r="474" spans="4:4" x14ac:dyDescent="0.3">
      <c r="D474" s="17"/>
    </row>
    <row r="475" spans="4:4" x14ac:dyDescent="0.3">
      <c r="D475" s="17"/>
    </row>
    <row r="476" spans="4:4" x14ac:dyDescent="0.3">
      <c r="D476" s="17"/>
    </row>
    <row r="477" spans="4:4" x14ac:dyDescent="0.3">
      <c r="D477" s="17"/>
    </row>
    <row r="478" spans="4:4" x14ac:dyDescent="0.3">
      <c r="D478" s="17"/>
    </row>
    <row r="479" spans="4:4" x14ac:dyDescent="0.3">
      <c r="D479" s="17"/>
    </row>
    <row r="480" spans="4:4" x14ac:dyDescent="0.3">
      <c r="D480" s="17"/>
    </row>
    <row r="481" spans="4:4" x14ac:dyDescent="0.3">
      <c r="D481" s="17"/>
    </row>
    <row r="482" spans="4:4" x14ac:dyDescent="0.3">
      <c r="D482" s="17"/>
    </row>
    <row r="483" spans="4:4" x14ac:dyDescent="0.3">
      <c r="D483" s="17"/>
    </row>
    <row r="484" spans="4:4" x14ac:dyDescent="0.3">
      <c r="D484" s="17"/>
    </row>
    <row r="485" spans="4:4" x14ac:dyDescent="0.3">
      <c r="D485" s="17"/>
    </row>
    <row r="486" spans="4:4" x14ac:dyDescent="0.3">
      <c r="D486" s="17"/>
    </row>
    <row r="487" spans="4:4" x14ac:dyDescent="0.3">
      <c r="D487" s="17"/>
    </row>
    <row r="488" spans="4:4" x14ac:dyDescent="0.3">
      <c r="D488" s="17"/>
    </row>
    <row r="489" spans="4:4" x14ac:dyDescent="0.3">
      <c r="D489" s="17"/>
    </row>
    <row r="490" spans="4:4" x14ac:dyDescent="0.3">
      <c r="D490" s="17"/>
    </row>
    <row r="491" spans="4:4" x14ac:dyDescent="0.3">
      <c r="D491" s="17"/>
    </row>
    <row r="492" spans="4:4" x14ac:dyDescent="0.3">
      <c r="D492" s="17"/>
    </row>
    <row r="493" spans="4:4" x14ac:dyDescent="0.3">
      <c r="D493" s="17"/>
    </row>
    <row r="494" spans="4:4" x14ac:dyDescent="0.3">
      <c r="D494" s="17"/>
    </row>
    <row r="495" spans="4:4" x14ac:dyDescent="0.3">
      <c r="D495" s="17"/>
    </row>
    <row r="496" spans="4:4" x14ac:dyDescent="0.3">
      <c r="D496" s="17"/>
    </row>
    <row r="497" spans="4:4" x14ac:dyDescent="0.3">
      <c r="D497" s="17"/>
    </row>
    <row r="498" spans="4:4" x14ac:dyDescent="0.3">
      <c r="D498" s="17"/>
    </row>
    <row r="499" spans="4:4" x14ac:dyDescent="0.3">
      <c r="D499" s="17"/>
    </row>
    <row r="500" spans="4:4" x14ac:dyDescent="0.3">
      <c r="D500" s="17"/>
    </row>
    <row r="501" spans="4:4" x14ac:dyDescent="0.3">
      <c r="D501" s="17"/>
    </row>
    <row r="502" spans="4:4" x14ac:dyDescent="0.3">
      <c r="D502" s="17"/>
    </row>
    <row r="503" spans="4:4" x14ac:dyDescent="0.3">
      <c r="D503" s="17"/>
    </row>
    <row r="504" spans="4:4" x14ac:dyDescent="0.3">
      <c r="D504" s="17"/>
    </row>
    <row r="505" spans="4:4" x14ac:dyDescent="0.3">
      <c r="D505" s="17"/>
    </row>
    <row r="506" spans="4:4" x14ac:dyDescent="0.3">
      <c r="D506" s="17"/>
    </row>
    <row r="507" spans="4:4" x14ac:dyDescent="0.3">
      <c r="D507" s="17"/>
    </row>
    <row r="508" spans="4:4" x14ac:dyDescent="0.3">
      <c r="D508" s="17"/>
    </row>
    <row r="509" spans="4:4" x14ac:dyDescent="0.3">
      <c r="D509" s="17"/>
    </row>
    <row r="510" spans="4:4" x14ac:dyDescent="0.3">
      <c r="D510" s="17"/>
    </row>
    <row r="511" spans="4:4" x14ac:dyDescent="0.3">
      <c r="D511" s="17"/>
    </row>
    <row r="512" spans="4:4" x14ac:dyDescent="0.3">
      <c r="D512" s="17"/>
    </row>
    <row r="513" spans="4:4" x14ac:dyDescent="0.3">
      <c r="D513" s="17"/>
    </row>
    <row r="514" spans="4:4" x14ac:dyDescent="0.3">
      <c r="D514" s="17"/>
    </row>
    <row r="515" spans="4:4" x14ac:dyDescent="0.3">
      <c r="D515" s="17"/>
    </row>
    <row r="516" spans="4:4" x14ac:dyDescent="0.3">
      <c r="D516" s="17"/>
    </row>
    <row r="517" spans="4:4" x14ac:dyDescent="0.3">
      <c r="D517" s="17"/>
    </row>
    <row r="518" spans="4:4" x14ac:dyDescent="0.3">
      <c r="D518" s="17"/>
    </row>
    <row r="519" spans="4:4" x14ac:dyDescent="0.3">
      <c r="D519" s="17"/>
    </row>
    <row r="520" spans="4:4" x14ac:dyDescent="0.3">
      <c r="D520" s="17"/>
    </row>
    <row r="521" spans="4:4" x14ac:dyDescent="0.3">
      <c r="D521" s="17"/>
    </row>
    <row r="522" spans="4:4" x14ac:dyDescent="0.3">
      <c r="D522" s="17"/>
    </row>
    <row r="523" spans="4:4" x14ac:dyDescent="0.3">
      <c r="D523" s="17"/>
    </row>
    <row r="524" spans="4:4" x14ac:dyDescent="0.3">
      <c r="D524" s="17"/>
    </row>
    <row r="525" spans="4:4" x14ac:dyDescent="0.3">
      <c r="D525" s="17"/>
    </row>
    <row r="526" spans="4:4" x14ac:dyDescent="0.3">
      <c r="D526" s="17"/>
    </row>
    <row r="527" spans="4:4" x14ac:dyDescent="0.3">
      <c r="D527" s="17"/>
    </row>
    <row r="528" spans="4:4" x14ac:dyDescent="0.3">
      <c r="D528" s="17"/>
    </row>
    <row r="529" spans="4:4" x14ac:dyDescent="0.3">
      <c r="D529" s="17"/>
    </row>
    <row r="530" spans="4:4" x14ac:dyDescent="0.3">
      <c r="D530" s="17"/>
    </row>
    <row r="531" spans="4:4" x14ac:dyDescent="0.3">
      <c r="D531" s="17"/>
    </row>
    <row r="532" spans="4:4" x14ac:dyDescent="0.3">
      <c r="D532" s="17"/>
    </row>
    <row r="533" spans="4:4" x14ac:dyDescent="0.3">
      <c r="D533" s="17"/>
    </row>
    <row r="534" spans="4:4" x14ac:dyDescent="0.3">
      <c r="D534" s="17"/>
    </row>
    <row r="535" spans="4:4" x14ac:dyDescent="0.3">
      <c r="D535" s="17"/>
    </row>
    <row r="536" spans="4:4" x14ac:dyDescent="0.3">
      <c r="D536" s="17"/>
    </row>
    <row r="537" spans="4:4" x14ac:dyDescent="0.3">
      <c r="D537" s="17"/>
    </row>
    <row r="538" spans="4:4" x14ac:dyDescent="0.3">
      <c r="D538" s="17"/>
    </row>
    <row r="539" spans="4:4" x14ac:dyDescent="0.3">
      <c r="D539" s="17"/>
    </row>
    <row r="540" spans="4:4" x14ac:dyDescent="0.3">
      <c r="D540" s="17"/>
    </row>
    <row r="541" spans="4:4" x14ac:dyDescent="0.3">
      <c r="D541" s="17"/>
    </row>
    <row r="542" spans="4:4" x14ac:dyDescent="0.3">
      <c r="D542" s="17"/>
    </row>
    <row r="543" spans="4:4" x14ac:dyDescent="0.3">
      <c r="D543" s="17"/>
    </row>
    <row r="544" spans="4:4" x14ac:dyDescent="0.3">
      <c r="D544" s="17"/>
    </row>
    <row r="545" spans="4:4" x14ac:dyDescent="0.3">
      <c r="D545" s="17"/>
    </row>
    <row r="546" spans="4:4" x14ac:dyDescent="0.3">
      <c r="D546" s="17"/>
    </row>
    <row r="547" spans="4:4" x14ac:dyDescent="0.3">
      <c r="D547" s="17"/>
    </row>
    <row r="548" spans="4:4" x14ac:dyDescent="0.3">
      <c r="D548" s="17"/>
    </row>
    <row r="549" spans="4:4" x14ac:dyDescent="0.3">
      <c r="D549" s="17"/>
    </row>
    <row r="550" spans="4:4" x14ac:dyDescent="0.3">
      <c r="D550" s="17"/>
    </row>
    <row r="551" spans="4:4" x14ac:dyDescent="0.3">
      <c r="D551" s="17"/>
    </row>
    <row r="552" spans="4:4" x14ac:dyDescent="0.3">
      <c r="D552" s="17"/>
    </row>
    <row r="553" spans="4:4" x14ac:dyDescent="0.3">
      <c r="D553" s="17"/>
    </row>
    <row r="554" spans="4:4" x14ac:dyDescent="0.3">
      <c r="D554" s="17"/>
    </row>
    <row r="555" spans="4:4" x14ac:dyDescent="0.3">
      <c r="D555" s="17"/>
    </row>
    <row r="556" spans="4:4" x14ac:dyDescent="0.3">
      <c r="D556" s="17"/>
    </row>
    <row r="557" spans="4:4" x14ac:dyDescent="0.3">
      <c r="D557" s="17"/>
    </row>
    <row r="558" spans="4:4" x14ac:dyDescent="0.3">
      <c r="D558" s="17"/>
    </row>
    <row r="559" spans="4:4" x14ac:dyDescent="0.3">
      <c r="D559" s="17"/>
    </row>
    <row r="560" spans="4:4" x14ac:dyDescent="0.3">
      <c r="D560" s="17"/>
    </row>
    <row r="561" spans="4:4" x14ac:dyDescent="0.3">
      <c r="D561" s="17"/>
    </row>
    <row r="562" spans="4:4" x14ac:dyDescent="0.3">
      <c r="D562" s="17"/>
    </row>
    <row r="563" spans="4:4" x14ac:dyDescent="0.3">
      <c r="D563" s="17"/>
    </row>
    <row r="564" spans="4:4" x14ac:dyDescent="0.3">
      <c r="D564" s="17"/>
    </row>
    <row r="565" spans="4:4" x14ac:dyDescent="0.3">
      <c r="D565" s="17"/>
    </row>
    <row r="566" spans="4:4" x14ac:dyDescent="0.3">
      <c r="D566" s="17"/>
    </row>
    <row r="567" spans="4:4" x14ac:dyDescent="0.3">
      <c r="D567" s="17"/>
    </row>
    <row r="568" spans="4:4" x14ac:dyDescent="0.3">
      <c r="D568" s="17"/>
    </row>
    <row r="569" spans="4:4" x14ac:dyDescent="0.3">
      <c r="D569" s="17"/>
    </row>
    <row r="570" spans="4:4" x14ac:dyDescent="0.3">
      <c r="D570" s="17"/>
    </row>
    <row r="571" spans="4:4" x14ac:dyDescent="0.3">
      <c r="D571" s="17"/>
    </row>
    <row r="572" spans="4:4" x14ac:dyDescent="0.3">
      <c r="D572" s="17"/>
    </row>
    <row r="573" spans="4:4" x14ac:dyDescent="0.3">
      <c r="D573" s="17"/>
    </row>
    <row r="574" spans="4:4" x14ac:dyDescent="0.3">
      <c r="D574" s="17"/>
    </row>
    <row r="575" spans="4:4" x14ac:dyDescent="0.3">
      <c r="D575" s="17"/>
    </row>
    <row r="576" spans="4:4" x14ac:dyDescent="0.3">
      <c r="D576" s="17"/>
    </row>
    <row r="577" spans="4:4" x14ac:dyDescent="0.3">
      <c r="D577" s="17"/>
    </row>
    <row r="578" spans="4:4" x14ac:dyDescent="0.3">
      <c r="D578" s="17"/>
    </row>
    <row r="579" spans="4:4" x14ac:dyDescent="0.3">
      <c r="D579" s="17"/>
    </row>
    <row r="580" spans="4:4" x14ac:dyDescent="0.3">
      <c r="D580" s="17"/>
    </row>
    <row r="581" spans="4:4" x14ac:dyDescent="0.3">
      <c r="D581" s="17"/>
    </row>
    <row r="582" spans="4:4" x14ac:dyDescent="0.3">
      <c r="D582" s="17"/>
    </row>
    <row r="583" spans="4:4" x14ac:dyDescent="0.3">
      <c r="D583" s="17"/>
    </row>
    <row r="584" spans="4:4" x14ac:dyDescent="0.3">
      <c r="D584" s="17"/>
    </row>
    <row r="585" spans="4:4" x14ac:dyDescent="0.3">
      <c r="D585" s="17"/>
    </row>
    <row r="586" spans="4:4" x14ac:dyDescent="0.3">
      <c r="D586" s="17"/>
    </row>
    <row r="587" spans="4:4" x14ac:dyDescent="0.3">
      <c r="D587" s="17"/>
    </row>
    <row r="588" spans="4:4" x14ac:dyDescent="0.3">
      <c r="D588" s="17"/>
    </row>
    <row r="589" spans="4:4" x14ac:dyDescent="0.3">
      <c r="D589" s="17"/>
    </row>
    <row r="590" spans="4:4" x14ac:dyDescent="0.3">
      <c r="D590" s="17"/>
    </row>
    <row r="591" spans="4:4" x14ac:dyDescent="0.3">
      <c r="D591" s="17"/>
    </row>
    <row r="592" spans="4:4" x14ac:dyDescent="0.3">
      <c r="D592" s="17"/>
    </row>
    <row r="593" spans="4:4" x14ac:dyDescent="0.3">
      <c r="D593" s="17"/>
    </row>
    <row r="594" spans="4:4" x14ac:dyDescent="0.3">
      <c r="D594" s="17"/>
    </row>
    <row r="595" spans="4:4" x14ac:dyDescent="0.3">
      <c r="D595" s="17"/>
    </row>
    <row r="596" spans="4:4" x14ac:dyDescent="0.3">
      <c r="D596" s="17"/>
    </row>
    <row r="597" spans="4:4" x14ac:dyDescent="0.3">
      <c r="D597" s="17"/>
    </row>
    <row r="598" spans="4:4" x14ac:dyDescent="0.3">
      <c r="D598" s="17"/>
    </row>
    <row r="599" spans="4:4" x14ac:dyDescent="0.3">
      <c r="D599" s="17"/>
    </row>
    <row r="600" spans="4:4" x14ac:dyDescent="0.3">
      <c r="D600" s="17"/>
    </row>
    <row r="601" spans="4:4" x14ac:dyDescent="0.3">
      <c r="D601" s="17"/>
    </row>
    <row r="602" spans="4:4" x14ac:dyDescent="0.3">
      <c r="D602" s="17"/>
    </row>
    <row r="603" spans="4:4" x14ac:dyDescent="0.3">
      <c r="D603" s="17"/>
    </row>
    <row r="604" spans="4:4" x14ac:dyDescent="0.3">
      <c r="D604" s="17"/>
    </row>
    <row r="605" spans="4:4" x14ac:dyDescent="0.3">
      <c r="D605" s="17"/>
    </row>
    <row r="606" spans="4:4" x14ac:dyDescent="0.3">
      <c r="D606" s="17"/>
    </row>
    <row r="607" spans="4:4" x14ac:dyDescent="0.3">
      <c r="D607" s="17"/>
    </row>
    <row r="608" spans="4:4" x14ac:dyDescent="0.3">
      <c r="D608" s="17"/>
    </row>
    <row r="609" spans="4:4" x14ac:dyDescent="0.3">
      <c r="D609" s="17"/>
    </row>
    <row r="610" spans="4:4" x14ac:dyDescent="0.3">
      <c r="D610" s="17"/>
    </row>
    <row r="611" spans="4:4" x14ac:dyDescent="0.3">
      <c r="D611" s="17"/>
    </row>
    <row r="612" spans="4:4" x14ac:dyDescent="0.3">
      <c r="D612" s="17"/>
    </row>
    <row r="613" spans="4:4" x14ac:dyDescent="0.3">
      <c r="D613" s="17"/>
    </row>
    <row r="614" spans="4:4" x14ac:dyDescent="0.3">
      <c r="D614" s="17"/>
    </row>
    <row r="615" spans="4:4" x14ac:dyDescent="0.3">
      <c r="D615" s="17"/>
    </row>
    <row r="616" spans="4:4" x14ac:dyDescent="0.3">
      <c r="D616" s="17"/>
    </row>
    <row r="617" spans="4:4" x14ac:dyDescent="0.3">
      <c r="D617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TL</vt:lpstr>
      <vt:lpstr>F(T,E)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2020-06-22T15:49:18Z</dcterms:created>
  <dcterms:modified xsi:type="dcterms:W3CDTF">2021-04-09T11:03:17Z</dcterms:modified>
</cp:coreProperties>
</file>