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Dosimetry\Deconovolution\I(D)\"/>
    </mc:Choice>
  </mc:AlternateContent>
  <xr:revisionPtr revIDLastSave="0" documentId="13_ncr:1_{7D30D1AE-672E-4C7E-8750-F8A9F370D58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TOR" sheetId="1" r:id="rId1"/>
    <sheet name="f(D)" sheetId="2" r:id="rId2"/>
  </sheets>
  <functionGroups builtInGroupCount="19"/>
  <definedNames>
    <definedName name="solver_adj" localSheetId="1" hidden="1">'f(D)'!$C$20,'f(D)'!$C$18,'f(D)'!$C$16</definedName>
    <definedName name="solver_adj" localSheetId="0" hidden="1">TTOR!$B$3,TTOR!$B$5,TTOR!$B$7,TTOR!$B$9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'f(D)'!$C$16</definedName>
    <definedName name="solver_lhs1" localSheetId="0" hidden="1">TTOR!$B$3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1</definedName>
    <definedName name="solver_num" localSheetId="0" hidden="1">1</definedName>
    <definedName name="solver_nwt" localSheetId="1" hidden="1">1</definedName>
    <definedName name="solver_nwt" localSheetId="0" hidden="1">1</definedName>
    <definedName name="solver_opt" localSheetId="1" hidden="1">'f(D)'!$Q$16</definedName>
    <definedName name="solver_opt" localSheetId="0" hidden="1">TTOR!$K$14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3</definedName>
    <definedName name="solver_rel1" localSheetId="0" hidden="1">3</definedName>
    <definedName name="solver_rhs1" localSheetId="1" hidden="1">0.0000001</definedName>
    <definedName name="solver_rhs1" localSheetId="0" hidden="1">0.000001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" i="2" l="1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G16" i="2"/>
  <c r="C24" i="2"/>
  <c r="C26" i="2" a="1"/>
  <c r="J19" i="2" l="1"/>
  <c r="J26" i="2"/>
  <c r="J17" i="2"/>
  <c r="J23" i="2"/>
  <c r="J22" i="2"/>
  <c r="J21" i="2"/>
  <c r="J18" i="2"/>
  <c r="J25" i="2"/>
  <c r="J24" i="2"/>
  <c r="J20" i="2"/>
  <c r="J27" i="2"/>
  <c r="H17" i="2"/>
  <c r="J16" i="2"/>
  <c r="H27" i="2"/>
  <c r="H26" i="2"/>
  <c r="H23" i="2"/>
  <c r="H24" i="2"/>
  <c r="H20" i="2"/>
  <c r="H19" i="2"/>
  <c r="H22" i="2"/>
  <c r="H16" i="2"/>
  <c r="H21" i="2"/>
  <c r="H18" i="2"/>
  <c r="H25" i="2"/>
  <c r="C26" i="2"/>
  <c r="E25" i="1"/>
  <c r="E15" i="1"/>
  <c r="E16" i="1"/>
  <c r="E17" i="1"/>
  <c r="E18" i="1"/>
  <c r="E19" i="1"/>
  <c r="E20" i="1"/>
  <c r="E21" i="1"/>
  <c r="E22" i="1"/>
  <c r="E23" i="1"/>
  <c r="E24" i="1"/>
  <c r="E14" i="1"/>
  <c r="F21" i="1"/>
  <c r="K24" i="2" a="1"/>
  <c r="F15" i="1"/>
  <c r="K25" i="2" a="1"/>
  <c r="K20" i="2" a="1"/>
  <c r="K26" i="2" a="1"/>
  <c r="K19" i="2" a="1"/>
  <c r="F25" i="1"/>
  <c r="K17" i="2" a="1"/>
  <c r="K21" i="2" a="1"/>
  <c r="K18" i="2" a="1"/>
  <c r="K27" i="2" a="1"/>
  <c r="F22" i="1"/>
  <c r="K22" i="2" a="1"/>
  <c r="K23" i="2" a="1"/>
  <c r="F18" i="1"/>
  <c r="F16" i="1"/>
  <c r="F20" i="1"/>
  <c r="F19" i="1"/>
  <c r="K16" i="2" a="1"/>
  <c r="F23" i="1"/>
  <c r="F17" i="1"/>
  <c r="F24" i="1"/>
  <c r="K19" i="2" l="1"/>
  <c r="L19" i="2" s="1"/>
  <c r="N19" i="2" s="1"/>
  <c r="K18" i="2"/>
  <c r="L18" i="2" s="1"/>
  <c r="N18" i="2" s="1"/>
  <c r="K21" i="2"/>
  <c r="L21" i="2" s="1"/>
  <c r="N21" i="2" s="1"/>
  <c r="K25" i="2"/>
  <c r="L25" i="2" s="1"/>
  <c r="N25" i="2" s="1"/>
  <c r="K22" i="2"/>
  <c r="L22" i="2" s="1"/>
  <c r="N22" i="2" s="1"/>
  <c r="K27" i="2"/>
  <c r="L27" i="2" s="1"/>
  <c r="N27" i="2" s="1"/>
  <c r="K20" i="2"/>
  <c r="L20" i="2" s="1"/>
  <c r="N20" i="2" s="1"/>
  <c r="K23" i="2"/>
  <c r="L23" i="2" s="1"/>
  <c r="N23" i="2" s="1"/>
  <c r="K17" i="2"/>
  <c r="L17" i="2" s="1"/>
  <c r="N17" i="2" s="1"/>
  <c r="K24" i="2"/>
  <c r="L24" i="2" s="1"/>
  <c r="N24" i="2" s="1"/>
  <c r="K26" i="2"/>
  <c r="L26" i="2" s="1"/>
  <c r="N26" i="2" s="1"/>
  <c r="K16" i="2"/>
  <c r="L16" i="2" s="1"/>
  <c r="G22" i="1"/>
  <c r="H22" i="1" s="1"/>
  <c r="G15" i="1"/>
  <c r="H15" i="1" s="1"/>
  <c r="G17" i="1"/>
  <c r="H17" i="1" s="1"/>
  <c r="G24" i="1"/>
  <c r="H24" i="1" s="1"/>
  <c r="G16" i="1"/>
  <c r="H16" i="1" s="1"/>
  <c r="G21" i="1"/>
  <c r="H21" i="1" s="1"/>
  <c r="G19" i="1"/>
  <c r="H19" i="1" s="1"/>
  <c r="G23" i="1"/>
  <c r="H23" i="1" s="1"/>
  <c r="G18" i="1"/>
  <c r="H18" i="1" s="1"/>
  <c r="G20" i="1"/>
  <c r="H20" i="1" s="1"/>
  <c r="G25" i="1"/>
  <c r="H25" i="1" s="1"/>
  <c r="F14" i="1"/>
  <c r="N16" i="2" l="1"/>
  <c r="O16" i="2"/>
  <c r="G14" i="1"/>
  <c r="I14" i="1" s="1"/>
  <c r="J25" i="1" l="1"/>
  <c r="P16" i="2"/>
  <c r="P17" i="2"/>
  <c r="P19" i="2"/>
  <c r="P18" i="2"/>
  <c r="P24" i="2"/>
  <c r="P26" i="2"/>
  <c r="P25" i="2"/>
  <c r="P22" i="2"/>
  <c r="P23" i="2"/>
  <c r="P20" i="2"/>
  <c r="P21" i="2"/>
  <c r="P27" i="2"/>
  <c r="H14" i="1"/>
  <c r="J14" i="1" s="1"/>
  <c r="J21" i="1"/>
  <c r="J20" i="1"/>
  <c r="J24" i="1"/>
  <c r="J19" i="1"/>
  <c r="J23" i="1"/>
  <c r="J22" i="1"/>
  <c r="J17" i="1"/>
  <c r="J15" i="1"/>
  <c r="J18" i="1"/>
  <c r="J16" i="1"/>
  <c r="Q16" i="2" l="1"/>
  <c r="K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<sst xmlns="http://schemas.openxmlformats.org/spreadsheetml/2006/main" count="30" uniqueCount="21">
  <si>
    <t>w</t>
  </si>
  <si>
    <t>z</t>
  </si>
  <si>
    <t>B</t>
  </si>
  <si>
    <t>a</t>
  </si>
  <si>
    <t>Dc</t>
  </si>
  <si>
    <t>I</t>
  </si>
  <si>
    <t xml:space="preserve">Dose </t>
  </si>
  <si>
    <t xml:space="preserve">I </t>
  </si>
  <si>
    <t>Abs(EXP-THEOR)</t>
  </si>
  <si>
    <t>Afit</t>
  </si>
  <si>
    <t>fom</t>
  </si>
  <si>
    <t>fom(total)</t>
  </si>
  <si>
    <t>I0</t>
  </si>
  <si>
    <t>factors</t>
  </si>
  <si>
    <r>
      <t>z</t>
    </r>
    <r>
      <rPr>
        <vertAlign val="subscript"/>
        <sz val="11"/>
        <color theme="1"/>
        <rFont val="Calibri"/>
        <family val="2"/>
        <scheme val="minor"/>
      </rPr>
      <t>B</t>
    </r>
  </si>
  <si>
    <t>k</t>
  </si>
  <si>
    <t>f(D) exp</t>
  </si>
  <si>
    <t>f(D) theo</t>
  </si>
  <si>
    <t>ABS(Exp-Theo)</t>
  </si>
  <si>
    <t>FOM</t>
  </si>
  <si>
    <t>FOM%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</si>
</sst>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1"/>
      <color theme="1"/>
      <name val="Times New Roman"/>
      <family val="1"/>
    </font>
    <font>
      <vertAlign val="sub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 applyAlignment="1" applyProtection="1">
      <alignment horizontal="center"/>
      <protection locked="0"/>
    </xf>
    <xf numFmtId="11" fontId="0" fillId="0" borderId="0" xfId="0" applyNumberFormat="1"/>
    <xf numFmtId="0" fontId="0" fillId="5" borderId="0" xfId="0" applyFill="1" applyAlignment="1">
      <alignment horizontal="center"/>
    </xf>
    <xf numFmtId="0" fontId="1" fillId="0" borderId="0" xfId="0" applyFont="1" applyFill="1" applyAlignment="1">
      <alignment horizontal="center"/>
    </xf>
    <xf numFmtId="1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3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2" fontId="3" fillId="0" borderId="1" xfId="0" applyNumberFormat="1" applyFont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/>
    <xf numFmtId="0" fontId="1" fillId="8" borderId="0" xfId="0" applyFont="1" applyFill="1" applyAlignment="1">
      <alignment horizontal="center"/>
    </xf>
  </cellXfs>
  <cellStyles count="2">
    <cellStyle name="Normal" xfId="0" builtinId="0"/>
    <cellStyle name="Normal 2" xfId="1" xr:uid="{4E0B6F6D-6B8A-4E53-A201-57B472657658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4340639852451"/>
          <c:y val="4.844536478394746E-2"/>
          <c:w val="0.81055245584961899"/>
          <c:h val="0.87826877700893446"/>
        </c:manualLayout>
      </c:layout>
      <c:scatterChart>
        <c:scatterStyle val="lineMarker"/>
        <c:varyColors val="0"/>
        <c:ser>
          <c:idx val="0"/>
          <c:order val="0"/>
          <c:tx>
            <c:v>Expe</c:v>
          </c:tx>
          <c:spPr>
            <a:ln w="28575">
              <a:noFill/>
            </a:ln>
          </c:spPr>
          <c:xVal>
            <c:numRef>
              <c:f>TTOR!$B$14:$B$1400</c:f>
              <c:numCache>
                <c:formatCode>0.00E+00</c:formatCode>
                <c:ptCount val="1387"/>
                <c:pt idx="0">
                  <c:v>0.10630377100000001</c:v>
                </c:pt>
                <c:pt idx="1">
                  <c:v>0.52097173200000002</c:v>
                </c:pt>
                <c:pt idx="2">
                  <c:v>1.0415955480000001</c:v>
                </c:pt>
                <c:pt idx="3">
                  <c:v>3.1302225899999998</c:v>
                </c:pt>
                <c:pt idx="4">
                  <c:v>10.415955479999999</c:v>
                </c:pt>
                <c:pt idx="5">
                  <c:v>25.01670391</c:v>
                </c:pt>
                <c:pt idx="6">
                  <c:v>49.007831549999999</c:v>
                </c:pt>
                <c:pt idx="7">
                  <c:v>100</c:v>
                </c:pt>
                <c:pt idx="8">
                  <c:v>250.16703910000001</c:v>
                </c:pt>
                <c:pt idx="9">
                  <c:v>510.46339169999999</c:v>
                </c:pt>
                <c:pt idx="10">
                  <c:v>979.82934599999999</c:v>
                </c:pt>
                <c:pt idx="11">
                  <c:v>1959.00434</c:v>
                </c:pt>
              </c:numCache>
            </c:numRef>
          </c:xVal>
          <c:yVal>
            <c:numRef>
              <c:f>TTOR!$C$14:$C$1400</c:f>
              <c:numCache>
                <c:formatCode>0.00E+00</c:formatCode>
                <c:ptCount val="1387"/>
                <c:pt idx="0">
                  <c:v>30538555.09</c:v>
                </c:pt>
                <c:pt idx="1">
                  <c:v>146779926.80000001</c:v>
                </c:pt>
                <c:pt idx="2">
                  <c:v>327454916.30000001</c:v>
                </c:pt>
                <c:pt idx="3">
                  <c:v>811130830.79999995</c:v>
                </c:pt>
                <c:pt idx="4">
                  <c:v>4037017259</c:v>
                </c:pt>
                <c:pt idx="5">
                  <c:v>11103363182</c:v>
                </c:pt>
                <c:pt idx="6">
                  <c:v>24770763560</c:v>
                </c:pt>
                <c:pt idx="7">
                  <c:v>65793322466</c:v>
                </c:pt>
                <c:pt idx="8">
                  <c:v>265609000000</c:v>
                </c:pt>
                <c:pt idx="9">
                  <c:v>480638000000</c:v>
                </c:pt>
                <c:pt idx="10">
                  <c:v>613591000000</c:v>
                </c:pt>
                <c:pt idx="11">
                  <c:v>681292000000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3C-411F-91F3-FE6C4D902B20}"/>
            </c:ext>
          </c:extLst>
        </c:ser>
        <c:ser>
          <c:idx val="1"/>
          <c:order val="1"/>
          <c:tx>
            <c:v>Theor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TTOR!$B$14:$B$1400</c:f>
              <c:numCache>
                <c:formatCode>0.00E+00</c:formatCode>
                <c:ptCount val="1387"/>
                <c:pt idx="0">
                  <c:v>0.10630377100000001</c:v>
                </c:pt>
                <c:pt idx="1">
                  <c:v>0.52097173200000002</c:v>
                </c:pt>
                <c:pt idx="2">
                  <c:v>1.0415955480000001</c:v>
                </c:pt>
                <c:pt idx="3">
                  <c:v>3.1302225899999998</c:v>
                </c:pt>
                <c:pt idx="4">
                  <c:v>10.415955479999999</c:v>
                </c:pt>
                <c:pt idx="5">
                  <c:v>25.01670391</c:v>
                </c:pt>
                <c:pt idx="6">
                  <c:v>49.007831549999999</c:v>
                </c:pt>
                <c:pt idx="7">
                  <c:v>100</c:v>
                </c:pt>
                <c:pt idx="8">
                  <c:v>250.16703910000001</c:v>
                </c:pt>
                <c:pt idx="9">
                  <c:v>510.46339169999999</c:v>
                </c:pt>
                <c:pt idx="10">
                  <c:v>979.82934599999999</c:v>
                </c:pt>
                <c:pt idx="11">
                  <c:v>1959.00434</c:v>
                </c:pt>
              </c:numCache>
            </c:numRef>
          </c:xVal>
          <c:yVal>
            <c:numRef>
              <c:f>TTOR!$G$14:$G$1400</c:f>
              <c:numCache>
                <c:formatCode>General</c:formatCode>
                <c:ptCount val="1387"/>
                <c:pt idx="0">
                  <c:v>40840990.613740787</c:v>
                </c:pt>
                <c:pt idx="1">
                  <c:v>200493879.66204542</c:v>
                </c:pt>
                <c:pt idx="2">
                  <c:v>401713852.8854264</c:v>
                </c:pt>
                <c:pt idx="3">
                  <c:v>1217739676.0586643</c:v>
                </c:pt>
                <c:pt idx="4">
                  <c:v>4179818062.5704041</c:v>
                </c:pt>
                <c:pt idx="5">
                  <c:v>10727697582.096228</c:v>
                </c:pt>
                <c:pt idx="6">
                  <c:v>23761785154.480927</c:v>
                </c:pt>
                <c:pt idx="7">
                  <c:v>66823081928.110519</c:v>
                </c:pt>
                <c:pt idx="8">
                  <c:v>265603616188.20279</c:v>
                </c:pt>
                <c:pt idx="9">
                  <c:v>480638007433.66992</c:v>
                </c:pt>
                <c:pt idx="10">
                  <c:v>629117585596.34485</c:v>
                </c:pt>
                <c:pt idx="11">
                  <c:v>681288415998.55627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3C-411F-91F3-FE6C4D902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3024"/>
        <c:axId val="138493952"/>
      </c:scatterChart>
      <c:valAx>
        <c:axId val="115473024"/>
        <c:scaling>
          <c:logBase val="10"/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crossAx val="138493952"/>
        <c:crosses val="autoZero"/>
        <c:crossBetween val="midCat"/>
      </c:valAx>
      <c:valAx>
        <c:axId val="138493952"/>
        <c:scaling>
          <c:logBase val="10"/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crossAx val="115473024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'f(D)'!$F$16:$F$29</c:f>
              <c:numCache>
                <c:formatCode>0.00E+00</c:formatCode>
                <c:ptCount val="14"/>
                <c:pt idx="0">
                  <c:v>0.10630377100000001</c:v>
                </c:pt>
                <c:pt idx="1">
                  <c:v>0.52097173200000002</c:v>
                </c:pt>
                <c:pt idx="2">
                  <c:v>1.0415955480000001</c:v>
                </c:pt>
                <c:pt idx="3">
                  <c:v>3.1302225899999998</c:v>
                </c:pt>
                <c:pt idx="4">
                  <c:v>10.415955479999999</c:v>
                </c:pt>
                <c:pt idx="5">
                  <c:v>25.01670391</c:v>
                </c:pt>
                <c:pt idx="6">
                  <c:v>49.007831549999999</c:v>
                </c:pt>
                <c:pt idx="7">
                  <c:v>100</c:v>
                </c:pt>
                <c:pt idx="8">
                  <c:v>250.16703910000001</c:v>
                </c:pt>
                <c:pt idx="9">
                  <c:v>510.46339169999999</c:v>
                </c:pt>
                <c:pt idx="10">
                  <c:v>979.82934599999999</c:v>
                </c:pt>
                <c:pt idx="11">
                  <c:v>1959.00434</c:v>
                </c:pt>
              </c:numCache>
            </c:numRef>
          </c:xVal>
          <c:yVal>
            <c:numRef>
              <c:f>'f(D)'!$H$16:$H$29</c:f>
              <c:numCache>
                <c:formatCode>0.00E+00</c:formatCode>
                <c:ptCount val="14"/>
                <c:pt idx="0">
                  <c:v>1</c:v>
                </c:pt>
                <c:pt idx="1">
                  <c:v>0.98073730171153473</c:v>
                </c:pt>
                <c:pt idx="2">
                  <c:v>1.0943407874227011</c:v>
                </c:pt>
                <c:pt idx="3">
                  <c:v>0.90201939096749706</c:v>
                </c:pt>
                <c:pt idx="4">
                  <c:v>1.3491544716969928</c:v>
                </c:pt>
                <c:pt idx="5">
                  <c:v>1.5449863367951537</c:v>
                </c:pt>
                <c:pt idx="6">
                  <c:v>1.7594385092292792</c:v>
                </c:pt>
                <c:pt idx="7">
                  <c:v>2.2902453191195886</c:v>
                </c:pt>
                <c:pt idx="8">
                  <c:v>3.6958376412929987</c:v>
                </c:pt>
                <c:pt idx="9">
                  <c:v>3.2775829223332651</c:v>
                </c:pt>
                <c:pt idx="10">
                  <c:v>2.1798606130981812</c:v>
                </c:pt>
                <c:pt idx="11">
                  <c:v>1.2105927736928357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F-419D-9249-D8531E94BAF0}"/>
            </c:ext>
          </c:extLst>
        </c:ser>
        <c:ser>
          <c:idx val="1"/>
          <c:order val="1"/>
          <c:tx>
            <c:v>Theo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'f(D)'!$F$16:$F$29</c:f>
              <c:numCache>
                <c:formatCode>0.00E+00</c:formatCode>
                <c:ptCount val="14"/>
                <c:pt idx="0">
                  <c:v>0.10630377100000001</c:v>
                </c:pt>
                <c:pt idx="1">
                  <c:v>0.52097173200000002</c:v>
                </c:pt>
                <c:pt idx="2">
                  <c:v>1.0415955480000001</c:v>
                </c:pt>
                <c:pt idx="3">
                  <c:v>3.1302225899999998</c:v>
                </c:pt>
                <c:pt idx="4">
                  <c:v>10.415955479999999</c:v>
                </c:pt>
                <c:pt idx="5">
                  <c:v>25.01670391</c:v>
                </c:pt>
                <c:pt idx="6">
                  <c:v>49.007831549999999</c:v>
                </c:pt>
                <c:pt idx="7">
                  <c:v>100</c:v>
                </c:pt>
                <c:pt idx="8">
                  <c:v>250.16703910000001</c:v>
                </c:pt>
                <c:pt idx="9">
                  <c:v>510.46339169999999</c:v>
                </c:pt>
                <c:pt idx="10">
                  <c:v>979.82934599999999</c:v>
                </c:pt>
                <c:pt idx="11">
                  <c:v>1959.00434</c:v>
                </c:pt>
              </c:numCache>
            </c:numRef>
          </c:xVal>
          <c:yVal>
            <c:numRef>
              <c:f>'f(D)'!$L$16:$L$29</c:f>
              <c:numCache>
                <c:formatCode>0.00E+00</c:formatCode>
                <c:ptCount val="14"/>
                <c:pt idx="0">
                  <c:v>1.0005604486022275</c:v>
                </c:pt>
                <c:pt idx="1">
                  <c:v>1.0027540071156775</c:v>
                </c:pt>
                <c:pt idx="2">
                  <c:v>1.0055247917346068</c:v>
                </c:pt>
                <c:pt idx="3">
                  <c:v>1.0168316506850086</c:v>
                </c:pt>
                <c:pt idx="4">
                  <c:v>1.0588377101685302</c:v>
                </c:pt>
                <c:pt idx="5">
                  <c:v>1.1572970585294007</c:v>
                </c:pt>
                <c:pt idx="6">
                  <c:v>1.3782441023154024</c:v>
                </c:pt>
                <c:pt idx="7">
                  <c:v>2.2902670306167212</c:v>
                </c:pt>
                <c:pt idx="8">
                  <c:v>3.6961229165175515</c:v>
                </c:pt>
                <c:pt idx="9">
                  <c:v>3.2356849335237241</c:v>
                </c:pt>
                <c:pt idx="10">
                  <c:v>2.2191763239147853</c:v>
                </c:pt>
                <c:pt idx="11">
                  <c:v>1.2105597982838869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5F-419D-9249-D8531E94B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5170303"/>
        <c:axId val="1725170719"/>
      </c:scatterChart>
      <c:valAx>
        <c:axId val="172517030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170719"/>
        <c:crosses val="autoZero"/>
        <c:crossBetween val="midCat"/>
      </c:valAx>
      <c:valAx>
        <c:axId val="172517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170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251460</xdr:colOff>
      <xdr:row>2</xdr:row>
      <xdr:rowOff>45720</xdr:rowOff>
    </xdr:from>
    <xdr:to>
      <xdr:col>9</xdr:col>
      <xdr:colOff>381000</xdr:colOff>
      <xdr:row>21</xdr:row>
      <xdr:rowOff>91440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327660</xdr:colOff>
      <xdr:row>2</xdr:row>
      <xdr:rowOff>76200</xdr:rowOff>
    </xdr:from>
    <xdr:to>
      <xdr:col>4</xdr:col>
      <xdr:colOff>91440</xdr:colOff>
      <xdr:row>7</xdr:row>
      <xdr:rowOff>144780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A81D28BA-9424-4954-ACA5-BD6985626A65}"/>
            </a:ext>
          </a:extLst>
        </xdr:cNvPr>
        <xdr:cNvSpPr txBox="1"/>
      </xdr:nvSpPr>
      <xdr:spPr>
        <a:xfrm>
          <a:off x="327660" y="441960"/>
          <a:ext cx="2506980" cy="98298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1100" b="1" u="sng"/>
            <a:t>TTOR</a:t>
          </a:r>
          <a:r>
            <a:rPr lang="en-US" sz="1100" b="1" u="sng" baseline="0"/>
            <a:t> f(D)</a:t>
          </a:r>
        </a:p>
        <a:p>
          <a:pPr algn="l"/>
          <a:r>
            <a:rPr lang="en-US" sz="1100" b="1" u="none" baseline="0"/>
            <a:t>f(D)=1/kD[1-(W(z2)/B)^a]</a:t>
          </a:r>
        </a:p>
        <a:p>
          <a:pPr algn="l"/>
          <a:r>
            <a:rPr lang="en-US" sz="1100" b="1" u="none" baseline="0"/>
            <a:t>k=(1/B)^(a)*a/Dc*W[ZB]^(a)/(1+W[ZB])</a:t>
          </a:r>
        </a:p>
        <a:p>
          <a:pPr algn="l"/>
          <a:r>
            <a:rPr lang="en-US" sz="1100" b="1" u="none" baseline="0"/>
            <a:t>z2=zBexp(-D/Dc)</a:t>
          </a:r>
        </a:p>
        <a:p>
          <a:pPr algn="l"/>
          <a:r>
            <a:rPr lang="en-US" sz="1100" b="1" u="none" baseline="0"/>
            <a:t>zR=BexpB</a:t>
          </a:r>
          <a:endParaRPr lang="el-GR" sz="1100" b="1" u="none"/>
        </a:p>
      </xdr:txBody>
    </xdr:sp>
    <xdr:clientData/>
  </xdr:twoCellAnchor>
  <xdr:twoCellAnchor>
    <xdr:from>
      <xdr:col>12</xdr:col>
      <xdr:colOff>327660</xdr:colOff>
      <xdr:row>3</xdr:row>
      <xdr:rowOff>95250</xdr:rowOff>
    </xdr:from>
    <xdr:to>
      <xdr:col>20</xdr:col>
      <xdr:colOff>22860</xdr:colOff>
      <xdr:row>18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2A6306-9730-4F02-B87F-39AAB8F5CC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____1"/>
  <dimension ref="A2:K63"/>
  <sheetViews>
    <sheetView tabSelected="1" zoomScaleNormal="100" workbookViewId="0">
      <selection activeCell="C10" sqref="C10"/>
    </sheetView>
  </sheetViews>
  <sheetFormatPr defaultRowHeight="14.4" x14ac:dyDescent="0.3"/>
  <cols>
    <col min="1" max="1" width="9.5546875" customWidth="1"/>
    <col min="2" max="2" width="15.109375" customWidth="1"/>
    <col min="3" max="3" width="18.77734375" customWidth="1"/>
    <col min="4" max="4" width="16.6640625" customWidth="1"/>
    <col min="5" max="5" width="16.33203125" customWidth="1"/>
    <col min="6" max="7" width="12" bestFit="1" customWidth="1"/>
    <col min="8" max="8" width="14.44140625" bestFit="1" customWidth="1"/>
    <col min="12" max="12" width="8.6640625" customWidth="1"/>
  </cols>
  <sheetData>
    <row r="2" spans="1:11" x14ac:dyDescent="0.3">
      <c r="A2" t="s">
        <v>13</v>
      </c>
      <c r="B2" s="9" t="s">
        <v>2</v>
      </c>
    </row>
    <row r="3" spans="1:11" x14ac:dyDescent="0.3">
      <c r="B3" s="8">
        <v>3.9263834602070902</v>
      </c>
    </row>
    <row r="4" spans="1:11" x14ac:dyDescent="0.3">
      <c r="B4" s="10" t="s">
        <v>3</v>
      </c>
    </row>
    <row r="5" spans="1:11" x14ac:dyDescent="0.3">
      <c r="B5" s="8">
        <v>5.1020426412206187E-2</v>
      </c>
    </row>
    <row r="6" spans="1:11" x14ac:dyDescent="0.3">
      <c r="B6" s="11" t="s">
        <v>4</v>
      </c>
    </row>
    <row r="7" spans="1:11" x14ac:dyDescent="0.3">
      <c r="A7">
        <v>1</v>
      </c>
      <c r="B7" s="8">
        <v>18.474272911864091</v>
      </c>
    </row>
    <row r="8" spans="1:11" x14ac:dyDescent="0.3">
      <c r="B8" s="12" t="s">
        <v>12</v>
      </c>
    </row>
    <row r="9" spans="1:11" x14ac:dyDescent="0.3">
      <c r="A9">
        <v>1000000000000</v>
      </c>
      <c r="B9" s="13">
        <v>0.68503035441087368</v>
      </c>
      <c r="C9" s="4"/>
    </row>
    <row r="13" spans="1:11" x14ac:dyDescent="0.3">
      <c r="B13" s="5" t="s">
        <v>6</v>
      </c>
      <c r="C13" s="5" t="s">
        <v>7</v>
      </c>
      <c r="D13" s="2"/>
      <c r="E13" s="6" t="s">
        <v>1</v>
      </c>
      <c r="F13" s="6" t="s">
        <v>0</v>
      </c>
      <c r="G13" s="6" t="s">
        <v>5</v>
      </c>
      <c r="H13" s="6" t="s">
        <v>8</v>
      </c>
      <c r="I13" s="6" t="s">
        <v>9</v>
      </c>
      <c r="J13" s="6" t="s">
        <v>10</v>
      </c>
      <c r="K13" s="6" t="s">
        <v>11</v>
      </c>
    </row>
    <row r="14" spans="1:11" x14ac:dyDescent="0.3">
      <c r="B14" s="3">
        <v>0.10630377100000001</v>
      </c>
      <c r="C14" s="3">
        <v>30538555.09</v>
      </c>
      <c r="D14" s="2"/>
      <c r="E14" s="7">
        <f>$B$3*EXP($B$3)*EXP(-B14/($B$7*A$7))</f>
        <v>198.01604672188864</v>
      </c>
      <c r="F14" s="2">
        <f>lmb_1_0(E14)</f>
        <v>3.9217978799566207</v>
      </c>
      <c r="G14" s="2">
        <f>$B$9*A$9*(1-(F14/$B$3)^$B$5)</f>
        <v>40840990.613740787</v>
      </c>
      <c r="H14" s="2">
        <f>ABS(G14-C14)</f>
        <v>10302435.523740787</v>
      </c>
      <c r="I14" s="2">
        <f>SUM(G14:G31)</f>
        <v>2164000796343.2515</v>
      </c>
      <c r="J14" s="2">
        <f t="shared" ref="J14:J24" si="0">H14/$I$14</f>
        <v>4.7608279724988724E-6</v>
      </c>
      <c r="K14" s="2">
        <f>SUM(J14:J31)*100</f>
        <v>0.86125889214474527</v>
      </c>
    </row>
    <row r="15" spans="1:11" x14ac:dyDescent="0.3">
      <c r="B15" s="3">
        <v>0.52097173200000002</v>
      </c>
      <c r="C15" s="3">
        <v>146779926.80000001</v>
      </c>
      <c r="D15" s="2"/>
      <c r="E15" s="7">
        <f t="shared" ref="E15:E24" si="1">$B$3*EXP($B$3)*EXP(-B15/($B$7*A$7))</f>
        <v>193.6209482762093</v>
      </c>
      <c r="F15" s="2">
        <f t="shared" ref="F15:F24" si="2">lmb_1_0(E15)</f>
        <v>3.903920952397931</v>
      </c>
      <c r="G15" s="2">
        <f t="shared" ref="G15:G24" si="3">$B$9*A$9*(1-(F15/$B$3)^$B$5)</f>
        <v>200493879.66204542</v>
      </c>
      <c r="H15" s="2">
        <f t="shared" ref="H15:H24" si="4">ABS(G15-C15)</f>
        <v>53713952.862045407</v>
      </c>
      <c r="I15" s="2"/>
      <c r="J15" s="2">
        <f t="shared" si="0"/>
        <v>2.4821595700339732E-5</v>
      </c>
      <c r="K15" s="2"/>
    </row>
    <row r="16" spans="1:11" x14ac:dyDescent="0.3">
      <c r="B16" s="3">
        <v>1.0415955480000001</v>
      </c>
      <c r="C16" s="3">
        <v>327454916.30000001</v>
      </c>
      <c r="D16" s="2"/>
      <c r="E16" s="7">
        <f t="shared" si="1"/>
        <v>188.24067965212856</v>
      </c>
      <c r="F16" s="2">
        <f t="shared" si="2"/>
        <v>3.8814997440513235</v>
      </c>
      <c r="G16" s="2">
        <f t="shared" si="3"/>
        <v>401713852.8854264</v>
      </c>
      <c r="H16" s="2">
        <f t="shared" si="4"/>
        <v>74258936.58542639</v>
      </c>
      <c r="I16" s="2"/>
      <c r="J16" s="2">
        <f t="shared" si="0"/>
        <v>3.4315577291334561E-5</v>
      </c>
      <c r="K16" s="2"/>
    </row>
    <row r="17" spans="2:11" x14ac:dyDescent="0.3">
      <c r="B17" s="3">
        <v>3.1302225899999998</v>
      </c>
      <c r="C17" s="3">
        <v>811130830.79999995</v>
      </c>
      <c r="D17" s="2"/>
      <c r="E17" s="7">
        <f t="shared" si="1"/>
        <v>168.11787567010046</v>
      </c>
      <c r="F17" s="2">
        <f t="shared" si="2"/>
        <v>3.7918194139156043</v>
      </c>
      <c r="G17" s="2">
        <f t="shared" si="3"/>
        <v>1217739676.0586643</v>
      </c>
      <c r="H17" s="2">
        <f t="shared" si="4"/>
        <v>406608845.25866437</v>
      </c>
      <c r="I17" s="2"/>
      <c r="J17" s="2">
        <f t="shared" si="0"/>
        <v>1.8789680944006847E-4</v>
      </c>
      <c r="K17" s="2"/>
    </row>
    <row r="18" spans="2:11" x14ac:dyDescent="0.3">
      <c r="B18" s="3">
        <v>10.415955479999999</v>
      </c>
      <c r="C18" s="3">
        <v>4037017259</v>
      </c>
      <c r="D18" s="2"/>
      <c r="E18" s="7">
        <f t="shared" si="1"/>
        <v>113.32882403969806</v>
      </c>
      <c r="F18" s="2">
        <f t="shared" si="2"/>
        <v>3.482533495426912</v>
      </c>
      <c r="G18" s="2">
        <f t="shared" si="3"/>
        <v>4179818062.5704041</v>
      </c>
      <c r="H18" s="2">
        <f t="shared" si="4"/>
        <v>142800803.57040405</v>
      </c>
      <c r="I18" s="2"/>
      <c r="J18" s="2">
        <f t="shared" si="0"/>
        <v>6.598925647888401E-5</v>
      </c>
      <c r="K18" s="2"/>
    </row>
    <row r="19" spans="2:11" x14ac:dyDescent="0.3">
      <c r="B19" s="3">
        <v>25.01670391</v>
      </c>
      <c r="C19" s="3">
        <v>11103363182</v>
      </c>
      <c r="D19" s="2"/>
      <c r="E19" s="7">
        <f t="shared" si="1"/>
        <v>51.416792532461564</v>
      </c>
      <c r="F19" s="2">
        <f t="shared" si="2"/>
        <v>2.8816141991286091</v>
      </c>
      <c r="G19" s="2">
        <f t="shared" si="3"/>
        <v>10727697582.096228</v>
      </c>
      <c r="H19" s="2">
        <f t="shared" si="4"/>
        <v>375665599.90377235</v>
      </c>
      <c r="I19" s="2"/>
      <c r="J19" s="2">
        <f t="shared" si="0"/>
        <v>1.7359771795767153E-4</v>
      </c>
      <c r="K19" s="2"/>
    </row>
    <row r="20" spans="2:11" x14ac:dyDescent="0.3">
      <c r="B20" s="3">
        <v>49.007831549999999</v>
      </c>
      <c r="C20" s="3">
        <v>24770763560</v>
      </c>
      <c r="D20" s="2"/>
      <c r="E20" s="7">
        <f t="shared" si="1"/>
        <v>14.032010394441743</v>
      </c>
      <c r="F20" s="2">
        <f t="shared" si="2"/>
        <v>1.9655626408426152</v>
      </c>
      <c r="G20" s="2">
        <f t="shared" si="3"/>
        <v>23761785154.480927</v>
      </c>
      <c r="H20" s="2">
        <f t="shared" si="4"/>
        <v>1008978405.5190735</v>
      </c>
      <c r="I20" s="2"/>
      <c r="J20" s="2">
        <f t="shared" si="0"/>
        <v>4.6625602320667098E-4</v>
      </c>
      <c r="K20" s="2"/>
    </row>
    <row r="21" spans="2:11" x14ac:dyDescent="0.3">
      <c r="B21" s="3">
        <v>100</v>
      </c>
      <c r="C21" s="3">
        <v>65793322466</v>
      </c>
      <c r="D21" s="2"/>
      <c r="E21" s="7">
        <f t="shared" si="1"/>
        <v>0.88795812310541955</v>
      </c>
      <c r="F21" s="2">
        <f t="shared" si="2"/>
        <v>0.52518121284885677</v>
      </c>
      <c r="G21" s="2">
        <f t="shared" si="3"/>
        <v>66823081928.110519</v>
      </c>
      <c r="H21" s="2">
        <f t="shared" si="4"/>
        <v>1029759462.1105194</v>
      </c>
      <c r="I21" s="2"/>
      <c r="J21" s="2">
        <f t="shared" si="0"/>
        <v>4.7585909573167278E-4</v>
      </c>
      <c r="K21" s="2"/>
    </row>
    <row r="22" spans="2:11" x14ac:dyDescent="0.3">
      <c r="B22" s="3">
        <v>250.16703910000001</v>
      </c>
      <c r="C22" s="3">
        <v>265609000000</v>
      </c>
      <c r="D22" s="2"/>
      <c r="E22" s="7">
        <f t="shared" si="1"/>
        <v>2.6197229901008635E-4</v>
      </c>
      <c r="F22" s="2">
        <f t="shared" si="2"/>
        <v>2.6190369648062026E-4</v>
      </c>
      <c r="G22" s="2">
        <f t="shared" si="3"/>
        <v>265603616188.20279</v>
      </c>
      <c r="H22" s="2">
        <f t="shared" si="4"/>
        <v>5383811.7972106934</v>
      </c>
      <c r="I22" s="2"/>
      <c r="J22" s="2">
        <f t="shared" si="0"/>
        <v>2.487897327167489E-6</v>
      </c>
      <c r="K22" s="2"/>
    </row>
    <row r="23" spans="2:11" x14ac:dyDescent="0.3">
      <c r="B23" s="3">
        <v>510.46339169999999</v>
      </c>
      <c r="C23" s="3">
        <v>480638000000</v>
      </c>
      <c r="D23" s="2"/>
      <c r="E23" s="7">
        <f t="shared" si="1"/>
        <v>1.9915479172357592E-10</v>
      </c>
      <c r="F23" s="2">
        <f t="shared" si="2"/>
        <v>1.991547916839133E-10</v>
      </c>
      <c r="G23" s="2">
        <f t="shared" si="3"/>
        <v>480638007433.66992</v>
      </c>
      <c r="H23" s="2">
        <f t="shared" si="4"/>
        <v>7433.669921875</v>
      </c>
      <c r="I23" s="2"/>
      <c r="J23" s="2">
        <f t="shared" si="0"/>
        <v>3.4351511951550498E-9</v>
      </c>
      <c r="K23" s="2"/>
    </row>
    <row r="24" spans="2:11" x14ac:dyDescent="0.3">
      <c r="B24" s="3">
        <v>979.82934599999999</v>
      </c>
      <c r="C24" s="3">
        <v>613591000000</v>
      </c>
      <c r="D24" s="2"/>
      <c r="E24" s="7">
        <f t="shared" si="1"/>
        <v>1.8420589785542594E-21</v>
      </c>
      <c r="F24" s="2">
        <f t="shared" si="2"/>
        <v>1.8420589785542594E-21</v>
      </c>
      <c r="G24" s="2">
        <f t="shared" si="3"/>
        <v>629117585596.34485</v>
      </c>
      <c r="H24" s="2">
        <f t="shared" si="4"/>
        <v>15526585596.344849</v>
      </c>
      <c r="I24" s="2"/>
      <c r="J24" s="2">
        <f t="shared" si="0"/>
        <v>7.1749444928956661E-3</v>
      </c>
      <c r="K24" s="2"/>
    </row>
    <row r="25" spans="2:11" x14ac:dyDescent="0.3">
      <c r="B25" s="3">
        <v>1959.00434</v>
      </c>
      <c r="C25" s="3">
        <v>681292000000</v>
      </c>
      <c r="D25" s="2"/>
      <c r="E25" s="7">
        <f t="shared" ref="E25" si="5">$B$3*EXP($B$3)*EXP(-B25/($B$7*A$7))</f>
        <v>1.7651850157631547E-44</v>
      </c>
      <c r="F25" s="2">
        <f t="shared" ref="F25" si="6">lmb_1_0(E25)</f>
        <v>1.7651850157631547E-44</v>
      </c>
      <c r="G25" s="2">
        <f t="shared" ref="G25" si="7">$B$9*A$9*(1-(F25/$B$3)^$B$5)</f>
        <v>681288415998.55627</v>
      </c>
      <c r="H25" s="2">
        <f t="shared" ref="H25" si="8">ABS(G25-C25)</f>
        <v>3584001.4437255859</v>
      </c>
      <c r="I25" s="2"/>
      <c r="J25" s="2">
        <f t="shared" ref="J25" si="9">H25/$I$14</f>
        <v>1.6561922942828232E-6</v>
      </c>
      <c r="K25" s="2"/>
    </row>
    <row r="26" spans="2:11" x14ac:dyDescent="0.3">
      <c r="B26" s="3"/>
      <c r="C26" s="3"/>
      <c r="D26" s="2"/>
      <c r="E26" s="7"/>
      <c r="F26" s="2"/>
      <c r="G26" s="2"/>
      <c r="H26" s="2"/>
      <c r="I26" s="2"/>
      <c r="J26" s="2"/>
      <c r="K26" s="2"/>
    </row>
    <row r="27" spans="2:11" x14ac:dyDescent="0.3">
      <c r="B27" s="3"/>
      <c r="C27" s="3"/>
      <c r="D27" s="2"/>
      <c r="E27" s="7"/>
      <c r="F27" s="2"/>
      <c r="G27" s="2"/>
      <c r="H27" s="2"/>
      <c r="I27" s="2"/>
      <c r="J27" s="2"/>
      <c r="K27" s="2"/>
    </row>
    <row r="28" spans="2:11" x14ac:dyDescent="0.3">
      <c r="B28" s="3"/>
      <c r="C28" s="3"/>
      <c r="D28" s="2"/>
      <c r="E28" s="7"/>
      <c r="F28" s="2"/>
      <c r="G28" s="2"/>
      <c r="H28" s="2"/>
      <c r="I28" s="2"/>
      <c r="J28" s="2"/>
      <c r="K28" s="2"/>
    </row>
    <row r="29" spans="2:11" x14ac:dyDescent="0.3">
      <c r="B29" s="3"/>
      <c r="C29" s="3"/>
      <c r="D29" s="2"/>
      <c r="E29" s="7"/>
      <c r="F29" s="2"/>
      <c r="G29" s="2"/>
      <c r="H29" s="2"/>
      <c r="I29" s="2"/>
      <c r="J29" s="2"/>
      <c r="K29" s="2"/>
    </row>
    <row r="30" spans="2:11" x14ac:dyDescent="0.3">
      <c r="B30" s="3"/>
      <c r="C30" s="3"/>
      <c r="D30" s="2"/>
      <c r="E30" s="7"/>
      <c r="F30" s="2"/>
      <c r="G30" s="2"/>
      <c r="H30" s="2"/>
      <c r="I30" s="2"/>
      <c r="J30" s="2"/>
      <c r="K30" s="2"/>
    </row>
    <row r="31" spans="2:11" x14ac:dyDescent="0.3">
      <c r="B31" s="3"/>
      <c r="C31" s="3"/>
      <c r="E31" s="4"/>
      <c r="F31" s="1"/>
      <c r="G31" s="1"/>
      <c r="H31" s="1"/>
      <c r="I31" s="1"/>
      <c r="J31" s="1"/>
    </row>
    <row r="32" spans="2:11" x14ac:dyDescent="0.3">
      <c r="B32" s="3"/>
      <c r="C32" s="3"/>
      <c r="E32" s="4"/>
      <c r="F32" s="1"/>
      <c r="G32" s="1"/>
      <c r="H32" s="1"/>
      <c r="I32" s="1"/>
      <c r="J32" s="1"/>
    </row>
    <row r="33" spans="2:10" x14ac:dyDescent="0.3">
      <c r="B33" s="3"/>
      <c r="C33" s="3"/>
      <c r="E33" s="4"/>
      <c r="F33" s="1"/>
      <c r="G33" s="1"/>
      <c r="H33" s="1"/>
      <c r="I33" s="1"/>
      <c r="J33" s="1"/>
    </row>
    <row r="34" spans="2:10" x14ac:dyDescent="0.3">
      <c r="B34" s="3"/>
      <c r="C34" s="3"/>
      <c r="E34" s="4"/>
      <c r="F34" s="1"/>
      <c r="G34" s="1"/>
      <c r="H34" s="1"/>
      <c r="I34" s="1"/>
      <c r="J34" s="1"/>
    </row>
    <row r="35" spans="2:10" x14ac:dyDescent="0.3">
      <c r="B35" s="3"/>
      <c r="C35" s="3"/>
      <c r="E35" s="4"/>
      <c r="F35" s="1"/>
      <c r="G35" s="1"/>
      <c r="H35" s="1"/>
      <c r="I35" s="1"/>
      <c r="J35" s="1"/>
    </row>
    <row r="36" spans="2:10" x14ac:dyDescent="0.3">
      <c r="B36" s="2"/>
      <c r="C36" s="2"/>
      <c r="E36" s="1"/>
      <c r="F36" s="1"/>
      <c r="G36" s="1"/>
      <c r="H36" s="1"/>
      <c r="I36" s="1"/>
      <c r="J36" s="1"/>
    </row>
    <row r="37" spans="2:10" x14ac:dyDescent="0.3">
      <c r="B37" s="2"/>
      <c r="C37" s="2"/>
      <c r="E37" s="1"/>
      <c r="F37" s="1"/>
      <c r="G37" s="1"/>
      <c r="H37" s="1"/>
      <c r="I37" s="1"/>
      <c r="J37" s="1"/>
    </row>
    <row r="38" spans="2:10" x14ac:dyDescent="0.3">
      <c r="B38" s="2"/>
      <c r="C38" s="2"/>
      <c r="E38" s="1"/>
      <c r="F38" s="1"/>
      <c r="G38" s="1"/>
      <c r="H38" s="1"/>
      <c r="I38" s="1"/>
      <c r="J38" s="1"/>
    </row>
    <row r="39" spans="2:10" x14ac:dyDescent="0.3">
      <c r="B39" s="2"/>
      <c r="C39" s="2"/>
      <c r="E39" s="1"/>
      <c r="F39" s="1"/>
      <c r="G39" s="1"/>
      <c r="H39" s="1"/>
      <c r="I39" s="1"/>
      <c r="J39" s="1"/>
    </row>
    <row r="40" spans="2:10" x14ac:dyDescent="0.3">
      <c r="B40" s="2"/>
      <c r="C40" s="2"/>
      <c r="E40" s="1"/>
      <c r="F40" s="1"/>
      <c r="G40" s="1"/>
      <c r="H40" s="1"/>
      <c r="I40" s="1"/>
      <c r="J40" s="1"/>
    </row>
    <row r="41" spans="2:10" x14ac:dyDescent="0.3">
      <c r="B41" s="2"/>
      <c r="C41" s="2"/>
      <c r="E41" s="1"/>
      <c r="F41" s="1"/>
      <c r="G41" s="1"/>
      <c r="H41" s="1"/>
      <c r="I41" s="1"/>
      <c r="J41" s="1"/>
    </row>
    <row r="42" spans="2:10" x14ac:dyDescent="0.3">
      <c r="B42" s="2"/>
      <c r="C42" s="2"/>
      <c r="E42" s="1"/>
      <c r="F42" s="1"/>
      <c r="G42" s="1"/>
      <c r="H42" s="1"/>
      <c r="I42" s="1"/>
      <c r="J42" s="1"/>
    </row>
    <row r="43" spans="2:10" x14ac:dyDescent="0.3">
      <c r="B43" s="2"/>
      <c r="C43" s="2"/>
      <c r="E43" s="1"/>
      <c r="F43" s="1"/>
      <c r="G43" s="1"/>
      <c r="H43" s="1"/>
      <c r="I43" s="1"/>
      <c r="J43" s="1"/>
    </row>
    <row r="44" spans="2:10" x14ac:dyDescent="0.3">
      <c r="B44" s="2"/>
      <c r="C44" s="2"/>
      <c r="E44" s="1"/>
      <c r="F44" s="1"/>
      <c r="G44" s="1"/>
      <c r="H44" s="1"/>
      <c r="I44" s="1"/>
      <c r="J44" s="1"/>
    </row>
    <row r="45" spans="2:10" x14ac:dyDescent="0.3">
      <c r="B45" s="2"/>
      <c r="C45" s="2"/>
      <c r="E45" s="1"/>
      <c r="F45" s="1"/>
      <c r="G45" s="1"/>
      <c r="H45" s="1"/>
      <c r="I45" s="1"/>
      <c r="J45" s="1"/>
    </row>
    <row r="46" spans="2:10" x14ac:dyDescent="0.3">
      <c r="B46" s="2"/>
      <c r="C46" s="2"/>
      <c r="E46" s="1"/>
      <c r="F46" s="1"/>
      <c r="G46" s="1"/>
      <c r="H46" s="1"/>
      <c r="I46" s="1"/>
      <c r="J46" s="1"/>
    </row>
    <row r="47" spans="2:10" x14ac:dyDescent="0.3">
      <c r="B47" s="2"/>
      <c r="C47" s="2"/>
      <c r="E47" s="1"/>
      <c r="F47" s="1"/>
      <c r="G47" s="1"/>
      <c r="H47" s="1"/>
      <c r="I47" s="1"/>
      <c r="J47" s="1"/>
    </row>
    <row r="48" spans="2:10" x14ac:dyDescent="0.3">
      <c r="B48" s="2"/>
      <c r="C48" s="2"/>
      <c r="E48" s="1"/>
      <c r="F48" s="1"/>
      <c r="G48" s="1"/>
      <c r="H48" s="1"/>
      <c r="I48" s="1"/>
      <c r="J48" s="1"/>
    </row>
    <row r="49" spans="2:10" x14ac:dyDescent="0.3">
      <c r="B49" s="2"/>
      <c r="C49" s="2"/>
      <c r="E49" s="1"/>
      <c r="F49" s="1"/>
      <c r="G49" s="1"/>
      <c r="H49" s="1"/>
      <c r="I49" s="1"/>
      <c r="J49" s="1"/>
    </row>
    <row r="50" spans="2:10" x14ac:dyDescent="0.3">
      <c r="B50" s="2"/>
      <c r="C50" s="2"/>
      <c r="E50" s="1"/>
      <c r="F50" s="1"/>
      <c r="G50" s="1"/>
      <c r="H50" s="1"/>
      <c r="I50" s="1"/>
      <c r="J50" s="1"/>
    </row>
    <row r="51" spans="2:10" x14ac:dyDescent="0.3">
      <c r="B51" s="2"/>
      <c r="C51" s="2"/>
      <c r="E51" s="1"/>
      <c r="F51" s="1"/>
      <c r="G51" s="1"/>
      <c r="H51" s="1"/>
      <c r="I51" s="1"/>
      <c r="J51" s="1"/>
    </row>
    <row r="52" spans="2:10" x14ac:dyDescent="0.3">
      <c r="B52" s="2"/>
      <c r="C52" s="2"/>
      <c r="E52" s="1"/>
      <c r="F52" s="1"/>
      <c r="G52" s="1"/>
      <c r="H52" s="1"/>
      <c r="I52" s="1"/>
      <c r="J52" s="1"/>
    </row>
    <row r="53" spans="2:10" x14ac:dyDescent="0.3">
      <c r="B53" s="2"/>
      <c r="C53" s="2"/>
      <c r="E53" s="1"/>
      <c r="F53" s="1"/>
      <c r="G53" s="1"/>
      <c r="H53" s="1"/>
      <c r="I53" s="1"/>
      <c r="J53" s="1"/>
    </row>
    <row r="54" spans="2:10" x14ac:dyDescent="0.3">
      <c r="B54" s="2"/>
      <c r="C54" s="2"/>
      <c r="E54" s="1"/>
      <c r="F54" s="1"/>
      <c r="G54" s="1"/>
      <c r="H54" s="1"/>
      <c r="I54" s="1"/>
      <c r="J54" s="1"/>
    </row>
    <row r="55" spans="2:10" x14ac:dyDescent="0.3">
      <c r="B55" s="2"/>
      <c r="C55" s="2"/>
      <c r="E55" s="1"/>
      <c r="F55" s="1"/>
      <c r="G55" s="1"/>
      <c r="H55" s="1"/>
      <c r="I55" s="1"/>
      <c r="J55" s="1"/>
    </row>
    <row r="56" spans="2:10" x14ac:dyDescent="0.3">
      <c r="B56" s="2"/>
      <c r="C56" s="2"/>
      <c r="E56" s="1"/>
      <c r="F56" s="1"/>
      <c r="G56" s="1"/>
      <c r="H56" s="1"/>
      <c r="I56" s="1"/>
      <c r="J56" s="1"/>
    </row>
    <row r="57" spans="2:10" x14ac:dyDescent="0.3">
      <c r="B57" s="2"/>
      <c r="C57" s="2"/>
      <c r="E57" s="1"/>
      <c r="F57" s="1"/>
      <c r="G57" s="1"/>
      <c r="H57" s="1"/>
      <c r="I57" s="1"/>
      <c r="J57" s="1"/>
    </row>
    <row r="58" spans="2:10" x14ac:dyDescent="0.3">
      <c r="B58" s="2"/>
      <c r="C58" s="2"/>
      <c r="E58" s="1"/>
      <c r="F58" s="1"/>
      <c r="G58" s="1"/>
      <c r="H58" s="1"/>
      <c r="I58" s="1"/>
      <c r="J58" s="1"/>
    </row>
    <row r="59" spans="2:10" x14ac:dyDescent="0.3">
      <c r="B59" s="2"/>
      <c r="C59" s="2"/>
      <c r="E59" s="1"/>
      <c r="F59" s="1"/>
      <c r="G59" s="1"/>
      <c r="H59" s="1"/>
      <c r="I59" s="1"/>
      <c r="J59" s="1"/>
    </row>
    <row r="60" spans="2:10" x14ac:dyDescent="0.3">
      <c r="B60" s="2"/>
      <c r="C60" s="2"/>
      <c r="E60" s="1"/>
      <c r="F60" s="1"/>
      <c r="G60" s="1"/>
      <c r="H60" s="1"/>
      <c r="I60" s="1"/>
      <c r="J60" s="1"/>
    </row>
    <row r="61" spans="2:10" x14ac:dyDescent="0.3">
      <c r="B61" s="2"/>
      <c r="C61" s="2"/>
      <c r="E61" s="1"/>
      <c r="F61" s="1"/>
      <c r="G61" s="1"/>
      <c r="H61" s="1"/>
      <c r="I61" s="1"/>
      <c r="J61" s="1"/>
    </row>
    <row r="62" spans="2:10" x14ac:dyDescent="0.3">
      <c r="B62" s="2"/>
      <c r="C62" s="2"/>
      <c r="E62" s="1"/>
      <c r="F62" s="1"/>
      <c r="G62" s="1"/>
      <c r="H62" s="1"/>
      <c r="I62" s="1"/>
      <c r="J62" s="1"/>
    </row>
    <row r="63" spans="2:10" x14ac:dyDescent="0.3">
      <c r="B63" s="2"/>
      <c r="C63" s="2"/>
      <c r="E63" s="1"/>
      <c r="F63" s="1"/>
      <c r="G63" s="1"/>
      <c r="H63" s="1"/>
      <c r="I63" s="1"/>
      <c r="J63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____2"/>
  <dimension ref="B15:Q76"/>
  <sheetViews>
    <sheetView workbookViewId="0">
      <selection activeCell="H16" sqref="H16"/>
    </sheetView>
  </sheetViews>
  <sheetFormatPr defaultRowHeight="14.4" x14ac:dyDescent="0.3"/>
  <cols>
    <col min="3" max="3" width="13.33203125" customWidth="1"/>
    <col min="9" max="9" width="8.88671875" style="1"/>
  </cols>
  <sheetData>
    <row r="15" spans="2:17" x14ac:dyDescent="0.3">
      <c r="B15" s="2" t="s">
        <v>13</v>
      </c>
      <c r="C15" s="9" t="s">
        <v>2</v>
      </c>
      <c r="F15" s="14" t="s">
        <v>6</v>
      </c>
      <c r="G15" s="14" t="s">
        <v>7</v>
      </c>
      <c r="H15" s="15" t="s">
        <v>16</v>
      </c>
      <c r="J15" s="16" t="s">
        <v>1</v>
      </c>
      <c r="K15" s="16" t="s">
        <v>0</v>
      </c>
      <c r="L15" s="16" t="s">
        <v>17</v>
      </c>
      <c r="N15" s="16" t="s">
        <v>18</v>
      </c>
      <c r="O15" s="16" t="s">
        <v>9</v>
      </c>
      <c r="P15" s="16" t="s">
        <v>19</v>
      </c>
      <c r="Q15" s="16" t="s">
        <v>20</v>
      </c>
    </row>
    <row r="16" spans="2:17" x14ac:dyDescent="0.3">
      <c r="B16" s="2"/>
      <c r="C16" s="8">
        <v>5.3027758816143269</v>
      </c>
      <c r="F16" s="4">
        <f>TTOR!B14</f>
        <v>0.10630377100000001</v>
      </c>
      <c r="G16" s="4">
        <f>TTOR!C14</f>
        <v>30538555.09</v>
      </c>
      <c r="H16" s="4">
        <f>G16/F16/($G$16/$F$16)</f>
        <v>1</v>
      </c>
      <c r="J16" s="4">
        <f>$C$24*EXP(-F16/($C$20*$B$20))</f>
        <v>1056.0401531568361</v>
      </c>
      <c r="K16" cm="1">
        <f t="array" ref="K16">lmb_1_0(J16)</f>
        <v>5.2954361428875467</v>
      </c>
      <c r="L16" s="4">
        <f>1/($C$26*F16)*(1-(K16/$C$16)^($C$18))</f>
        <v>1.0005604486022275</v>
      </c>
      <c r="N16">
        <f>ABS(L16-H16)</f>
        <v>5.6044860222748127E-4</v>
      </c>
      <c r="O16" s="4">
        <f>SUM(L16:L74)</f>
        <v>20.271860772007521</v>
      </c>
      <c r="P16">
        <f>N16/$O$16</f>
        <v>2.7646628424035888E-5</v>
      </c>
      <c r="Q16">
        <f>SUM(P16:P74)*100</f>
        <v>6.7431378562170217</v>
      </c>
    </row>
    <row r="17" spans="2:16" x14ac:dyDescent="0.3">
      <c r="B17" s="2"/>
      <c r="C17" s="10" t="s">
        <v>3</v>
      </c>
      <c r="F17" s="4">
        <f>TTOR!B15</f>
        <v>0.52097173200000002</v>
      </c>
      <c r="G17" s="4">
        <f>TTOR!C15</f>
        <v>146779926.80000001</v>
      </c>
      <c r="H17" s="4">
        <f t="shared" ref="H17:H27" si="0">G17/F17/($G$16/$F$16)</f>
        <v>0.98073730171153473</v>
      </c>
      <c r="J17" s="4">
        <f t="shared" ref="J17:J27" si="1">$C$24*EXP(-F17/($C$20*$B$20))</f>
        <v>1020.7039562759726</v>
      </c>
      <c r="K17" s="1" cm="1">
        <f t="array" ref="K17">lmb_1_0(J17)</f>
        <v>5.2668208879799252</v>
      </c>
      <c r="L17" s="4">
        <f t="shared" ref="L17:L27" si="2">1/($C$26*F17)*(1-(K17/$C$16)^($C$18))</f>
        <v>1.0027540071156775</v>
      </c>
      <c r="N17" s="1">
        <f t="shared" ref="N17:N27" si="3">ABS(L17-H17)</f>
        <v>2.20167054041428E-2</v>
      </c>
      <c r="P17" s="1">
        <f t="shared" ref="P17:P27" si="4">N17/$O$16</f>
        <v>1.0860722482143649E-3</v>
      </c>
    </row>
    <row r="18" spans="2:16" x14ac:dyDescent="0.3">
      <c r="B18" s="2"/>
      <c r="C18" s="8">
        <v>3.2163879847335021E-2</v>
      </c>
      <c r="F18" s="4">
        <f>TTOR!B16</f>
        <v>1.0415955480000001</v>
      </c>
      <c r="G18" s="4">
        <f>TTOR!C16</f>
        <v>327454916.30000001</v>
      </c>
      <c r="H18" s="4">
        <f t="shared" si="0"/>
        <v>1.0943407874227011</v>
      </c>
      <c r="J18" s="4">
        <f t="shared" si="1"/>
        <v>978.0080309526777</v>
      </c>
      <c r="K18" s="1" cm="1">
        <f t="array" ref="K18">lmb_1_0(J18)</f>
        <v>5.2309289918092361</v>
      </c>
      <c r="L18" s="4">
        <f t="shared" si="2"/>
        <v>1.0055247917346068</v>
      </c>
      <c r="N18" s="1">
        <f t="shared" si="3"/>
        <v>8.8815995688094285E-2</v>
      </c>
      <c r="P18" s="1">
        <f t="shared" si="4"/>
        <v>4.3812453472814004E-3</v>
      </c>
    </row>
    <row r="19" spans="2:16" x14ac:dyDescent="0.3">
      <c r="B19" s="2"/>
      <c r="C19" s="11" t="s">
        <v>4</v>
      </c>
      <c r="F19" s="4">
        <f>TTOR!B17</f>
        <v>3.1302225899999998</v>
      </c>
      <c r="G19" s="4">
        <f>TTOR!C17</f>
        <v>811130830.79999995</v>
      </c>
      <c r="H19" s="4">
        <f t="shared" si="0"/>
        <v>0.90201939096749706</v>
      </c>
      <c r="J19" s="4">
        <f t="shared" si="1"/>
        <v>823.9376500666101</v>
      </c>
      <c r="K19" s="1" cm="1">
        <f t="array" ref="K19">lmb_1_0(J19)</f>
        <v>5.0873397985978395</v>
      </c>
      <c r="L19" s="4">
        <f t="shared" si="2"/>
        <v>1.0168316506850086</v>
      </c>
      <c r="N19" s="1">
        <f t="shared" si="3"/>
        <v>0.11481225971751152</v>
      </c>
      <c r="P19" s="1">
        <f t="shared" si="4"/>
        <v>5.6636270843005432E-3</v>
      </c>
    </row>
    <row r="20" spans="2:16" x14ac:dyDescent="0.3">
      <c r="B20" s="2">
        <v>1</v>
      </c>
      <c r="C20" s="8">
        <v>12.184052166096157</v>
      </c>
      <c r="F20" s="4">
        <f>TTOR!B18</f>
        <v>10.415955479999999</v>
      </c>
      <c r="G20" s="4">
        <f>TTOR!C18</f>
        <v>4037017259</v>
      </c>
      <c r="H20" s="4">
        <f t="shared" si="0"/>
        <v>1.3491544716969928</v>
      </c>
      <c r="J20" s="4">
        <f t="shared" si="1"/>
        <v>453.10413121394578</v>
      </c>
      <c r="K20" s="1" cm="1">
        <f t="array" ref="K20">lmb_1_0(J20)</f>
        <v>4.5918409477032007</v>
      </c>
      <c r="L20" s="4">
        <f t="shared" si="2"/>
        <v>1.0588377101685302</v>
      </c>
      <c r="N20" s="1">
        <f t="shared" si="3"/>
        <v>0.29031676152846253</v>
      </c>
      <c r="P20" s="1">
        <f t="shared" si="4"/>
        <v>1.4321169861690623E-2</v>
      </c>
    </row>
    <row r="21" spans="2:16" x14ac:dyDescent="0.3">
      <c r="F21" s="4">
        <f>TTOR!B19</f>
        <v>25.01670391</v>
      </c>
      <c r="G21" s="4">
        <f>TTOR!C19</f>
        <v>11103363182</v>
      </c>
      <c r="H21" s="4">
        <f t="shared" si="0"/>
        <v>1.5449863367951537</v>
      </c>
      <c r="J21" s="4">
        <f t="shared" si="1"/>
        <v>136.69782456985698</v>
      </c>
      <c r="K21" s="1" cm="1">
        <f t="array" ref="K21">lmb_1_0(J21)</f>
        <v>3.6288555159902978</v>
      </c>
      <c r="L21" s="4">
        <f t="shared" si="2"/>
        <v>1.1572970585294007</v>
      </c>
      <c r="N21" s="1">
        <f t="shared" si="3"/>
        <v>0.38768927826575306</v>
      </c>
      <c r="P21" s="1">
        <f t="shared" si="4"/>
        <v>1.9124503794989325E-2</v>
      </c>
    </row>
    <row r="22" spans="2:16" x14ac:dyDescent="0.3">
      <c r="F22" s="4">
        <f>TTOR!B20</f>
        <v>49.007831549999999</v>
      </c>
      <c r="G22" s="4">
        <f>TTOR!C20</f>
        <v>24770763560</v>
      </c>
      <c r="H22" s="4">
        <f t="shared" si="0"/>
        <v>1.7594385092292792</v>
      </c>
      <c r="J22" s="4">
        <f t="shared" si="1"/>
        <v>19.081380250013915</v>
      </c>
      <c r="K22" s="1" cm="1">
        <f t="array" ref="K22">lmb_1_0(J22)</f>
        <v>2.1727290153626639</v>
      </c>
      <c r="L22" s="4">
        <f t="shared" si="2"/>
        <v>1.3782441023154024</v>
      </c>
      <c r="N22" s="1">
        <f t="shared" si="3"/>
        <v>0.38119440691387685</v>
      </c>
      <c r="P22" s="1">
        <f t="shared" si="4"/>
        <v>1.8804115280835525E-2</v>
      </c>
    </row>
    <row r="23" spans="2:16" ht="15.6" x14ac:dyDescent="0.35">
      <c r="C23" s="2" t="s">
        <v>14</v>
      </c>
      <c r="F23" s="4">
        <f>TTOR!B21</f>
        <v>100</v>
      </c>
      <c r="G23" s="4">
        <f>TTOR!C21</f>
        <v>65793322466</v>
      </c>
      <c r="H23" s="4">
        <f t="shared" si="0"/>
        <v>2.2902453191195886</v>
      </c>
      <c r="J23" s="4">
        <f t="shared" si="1"/>
        <v>0.29041516688895047</v>
      </c>
      <c r="K23" s="1" cm="1">
        <f t="array" ref="K23">lmb_1_0(J23)</f>
        <v>0.23060504103852164</v>
      </c>
      <c r="L23" s="4">
        <f t="shared" si="2"/>
        <v>2.2902670306167212</v>
      </c>
      <c r="N23" s="1">
        <f t="shared" si="3"/>
        <v>2.1711497132592683E-5</v>
      </c>
      <c r="P23" s="1">
        <f t="shared" si="4"/>
        <v>1.0710164881643766E-6</v>
      </c>
    </row>
    <row r="24" spans="2:16" x14ac:dyDescent="0.3">
      <c r="C24" s="2">
        <f>C16*EXP(C16)</f>
        <v>1065.2942342854083</v>
      </c>
      <c r="F24" s="4">
        <f>TTOR!B22</f>
        <v>250.16703910000001</v>
      </c>
      <c r="G24" s="4">
        <f>TTOR!C22</f>
        <v>265609000000</v>
      </c>
      <c r="H24" s="4">
        <f t="shared" si="0"/>
        <v>3.6958376412929987</v>
      </c>
      <c r="J24" s="4">
        <f t="shared" si="1"/>
        <v>1.2894064654630263E-6</v>
      </c>
      <c r="K24" s="1" cm="1">
        <f t="array" ref="K24">lmb_1_0(J24)</f>
        <v>1.2894048028972086E-6</v>
      </c>
      <c r="L24" s="4">
        <f t="shared" si="2"/>
        <v>3.6961229165175515</v>
      </c>
      <c r="N24" s="1">
        <f t="shared" si="3"/>
        <v>2.8527522455279453E-4</v>
      </c>
      <c r="P24" s="1">
        <f t="shared" si="4"/>
        <v>1.4072473551452066E-5</v>
      </c>
    </row>
    <row r="25" spans="2:16" x14ac:dyDescent="0.3">
      <c r="C25" s="2" t="s">
        <v>15</v>
      </c>
      <c r="F25" s="4">
        <f>TTOR!B23</f>
        <v>510.46339169999999</v>
      </c>
      <c r="G25" s="4">
        <f>TTOR!C23</f>
        <v>480638000000</v>
      </c>
      <c r="H25" s="4">
        <f t="shared" si="0"/>
        <v>3.2775829223332651</v>
      </c>
      <c r="J25" s="4">
        <f t="shared" si="1"/>
        <v>6.7960375050385537E-16</v>
      </c>
      <c r="K25" s="1" cm="1">
        <f t="array" ref="K25">lmb_1_0(J25)</f>
        <v>6.7960375050385488E-16</v>
      </c>
      <c r="L25" s="4">
        <f t="shared" si="2"/>
        <v>3.2356849335237241</v>
      </c>
      <c r="N25" s="1">
        <f t="shared" si="3"/>
        <v>4.1897988809540987E-2</v>
      </c>
      <c r="P25" s="1">
        <f t="shared" si="4"/>
        <v>2.06680527657313E-3</v>
      </c>
    </row>
    <row r="26" spans="2:16" x14ac:dyDescent="0.3">
      <c r="C26" s="2" cm="1">
        <f t="array" ref="C26">(1/C16)^(C18)*(C18/(C20*B20))*(lmb_1_0(C24)^C18)/(1+lmb_1_0(C24))</f>
        <v>4.188367845876343E-4</v>
      </c>
      <c r="F26" s="4">
        <f>TTOR!B24</f>
        <v>979.82934599999999</v>
      </c>
      <c r="G26" s="4">
        <f>TTOR!C24</f>
        <v>613591000000</v>
      </c>
      <c r="H26" s="4">
        <f t="shared" si="0"/>
        <v>2.1798606130981812</v>
      </c>
      <c r="J26" s="4">
        <f t="shared" si="1"/>
        <v>1.2645607010214566E-32</v>
      </c>
      <c r="K26" s="1" cm="1">
        <f t="array" ref="K26">lmb_1_0(J26)</f>
        <v>1.2645607010214566E-32</v>
      </c>
      <c r="L26" s="4">
        <f t="shared" si="2"/>
        <v>2.2191763239147853</v>
      </c>
      <c r="N26" s="1">
        <f t="shared" si="3"/>
        <v>3.931571081660401E-2</v>
      </c>
      <c r="P26" s="1">
        <f t="shared" si="4"/>
        <v>1.9394228906156096E-3</v>
      </c>
    </row>
    <row r="27" spans="2:16" x14ac:dyDescent="0.3">
      <c r="F27" s="4">
        <f>TTOR!B25</f>
        <v>1959.00434</v>
      </c>
      <c r="G27" s="4">
        <f>TTOR!C25</f>
        <v>681292000000</v>
      </c>
      <c r="H27" s="4">
        <f t="shared" si="0"/>
        <v>1.2105927736928357</v>
      </c>
      <c r="J27" s="4">
        <f t="shared" si="1"/>
        <v>1.5839221688417785E-67</v>
      </c>
      <c r="K27" s="1" cm="1">
        <f t="array" ref="K27">lmb_1_0(J27)</f>
        <v>1.5839221688417785E-67</v>
      </c>
      <c r="L27" s="4">
        <f t="shared" si="2"/>
        <v>1.2105597982838869</v>
      </c>
      <c r="N27" s="1">
        <f t="shared" si="3"/>
        <v>3.2975408948754392E-5</v>
      </c>
      <c r="P27" s="1">
        <f t="shared" si="4"/>
        <v>1.6266592060600877E-6</v>
      </c>
    </row>
    <row r="28" spans="2:16" x14ac:dyDescent="0.3">
      <c r="F28" s="4"/>
      <c r="G28" s="4"/>
      <c r="H28" s="4"/>
      <c r="J28" s="4"/>
      <c r="K28" s="1"/>
      <c r="L28" s="4"/>
      <c r="N28" s="1"/>
      <c r="P28" s="1"/>
    </row>
    <row r="29" spans="2:16" x14ac:dyDescent="0.3">
      <c r="F29" s="4"/>
      <c r="G29" s="4"/>
      <c r="H29" s="4"/>
      <c r="J29" s="4"/>
      <c r="K29" s="1"/>
      <c r="L29" s="4"/>
      <c r="N29" s="1"/>
      <c r="P29" s="1"/>
    </row>
    <row r="30" spans="2:16" x14ac:dyDescent="0.3">
      <c r="F30" s="4"/>
      <c r="G30" s="4"/>
      <c r="H30" s="4"/>
      <c r="J30" s="4"/>
      <c r="K30" s="1"/>
      <c r="L30" s="4"/>
      <c r="M30" s="1"/>
      <c r="N30" s="1"/>
      <c r="O30" s="1"/>
      <c r="P30" s="1"/>
    </row>
    <row r="31" spans="2:16" x14ac:dyDescent="0.3">
      <c r="F31" s="4"/>
      <c r="G31" s="4"/>
      <c r="H31" s="4"/>
      <c r="J31" s="4"/>
      <c r="K31" s="1"/>
      <c r="L31" s="4"/>
      <c r="M31" s="1"/>
      <c r="N31" s="1"/>
      <c r="O31" s="1"/>
      <c r="P31" s="1"/>
    </row>
    <row r="32" spans="2:16" x14ac:dyDescent="0.3">
      <c r="F32" s="4"/>
      <c r="G32" s="4"/>
      <c r="H32" s="4"/>
      <c r="J32" s="4"/>
      <c r="K32" s="1"/>
      <c r="L32" s="4"/>
      <c r="M32" s="1"/>
      <c r="N32" s="1"/>
      <c r="O32" s="1"/>
      <c r="P32" s="1"/>
    </row>
    <row r="33" spans="6:7" x14ac:dyDescent="0.3">
      <c r="F33" s="4"/>
      <c r="G33" s="4"/>
    </row>
    <row r="34" spans="6:7" x14ac:dyDescent="0.3">
      <c r="F34" s="4"/>
      <c r="G34" s="4"/>
    </row>
    <row r="35" spans="6:7" x14ac:dyDescent="0.3">
      <c r="F35" s="4"/>
      <c r="G35" s="4"/>
    </row>
    <row r="36" spans="6:7" x14ac:dyDescent="0.3">
      <c r="F36" s="4"/>
      <c r="G36" s="4"/>
    </row>
    <row r="37" spans="6:7" x14ac:dyDescent="0.3">
      <c r="F37" s="4"/>
      <c r="G37" s="4"/>
    </row>
    <row r="38" spans="6:7" x14ac:dyDescent="0.3">
      <c r="F38" s="4"/>
      <c r="G38" s="4"/>
    </row>
    <row r="39" spans="6:7" x14ac:dyDescent="0.3">
      <c r="F39" s="4"/>
      <c r="G39" s="4"/>
    </row>
    <row r="40" spans="6:7" x14ac:dyDescent="0.3">
      <c r="F40" s="4"/>
      <c r="G40" s="4"/>
    </row>
    <row r="41" spans="6:7" x14ac:dyDescent="0.3">
      <c r="F41" s="4"/>
      <c r="G41" s="4"/>
    </row>
    <row r="42" spans="6:7" x14ac:dyDescent="0.3">
      <c r="F42" s="4"/>
      <c r="G42" s="4"/>
    </row>
    <row r="43" spans="6:7" x14ac:dyDescent="0.3">
      <c r="F43" s="4"/>
      <c r="G43" s="4"/>
    </row>
    <row r="44" spans="6:7" x14ac:dyDescent="0.3">
      <c r="F44" s="4"/>
      <c r="G44" s="4"/>
    </row>
    <row r="45" spans="6:7" x14ac:dyDescent="0.3">
      <c r="F45" s="4"/>
      <c r="G45" s="4"/>
    </row>
    <row r="46" spans="6:7" x14ac:dyDescent="0.3">
      <c r="F46" s="4"/>
      <c r="G46" s="4"/>
    </row>
    <row r="47" spans="6:7" x14ac:dyDescent="0.3">
      <c r="F47" s="4"/>
      <c r="G47" s="4"/>
    </row>
    <row r="48" spans="6:7" x14ac:dyDescent="0.3">
      <c r="F48" s="4"/>
      <c r="G48" s="4"/>
    </row>
    <row r="49" spans="6:7" x14ac:dyDescent="0.3">
      <c r="F49" s="4"/>
      <c r="G49" s="4"/>
    </row>
    <row r="50" spans="6:7" x14ac:dyDescent="0.3">
      <c r="F50" s="4"/>
      <c r="G50" s="4"/>
    </row>
    <row r="51" spans="6:7" x14ac:dyDescent="0.3">
      <c r="F51" s="4"/>
      <c r="G51" s="4"/>
    </row>
    <row r="52" spans="6:7" x14ac:dyDescent="0.3">
      <c r="F52" s="4"/>
      <c r="G52" s="4"/>
    </row>
    <row r="53" spans="6:7" x14ac:dyDescent="0.3">
      <c r="F53" s="4"/>
      <c r="G53" s="4"/>
    </row>
    <row r="54" spans="6:7" x14ac:dyDescent="0.3">
      <c r="F54" s="4"/>
      <c r="G54" s="4"/>
    </row>
    <row r="55" spans="6:7" x14ac:dyDescent="0.3">
      <c r="F55" s="4"/>
      <c r="G55" s="4"/>
    </row>
    <row r="56" spans="6:7" x14ac:dyDescent="0.3">
      <c r="F56" s="4"/>
      <c r="G56" s="4"/>
    </row>
    <row r="57" spans="6:7" x14ac:dyDescent="0.3">
      <c r="F57" s="4"/>
      <c r="G57" s="4"/>
    </row>
    <row r="58" spans="6:7" x14ac:dyDescent="0.3">
      <c r="F58" s="4"/>
      <c r="G58" s="4"/>
    </row>
    <row r="59" spans="6:7" x14ac:dyDescent="0.3">
      <c r="F59" s="4"/>
      <c r="G59" s="4"/>
    </row>
    <row r="60" spans="6:7" x14ac:dyDescent="0.3">
      <c r="F60" s="4"/>
      <c r="G60" s="4"/>
    </row>
    <row r="61" spans="6:7" x14ac:dyDescent="0.3">
      <c r="F61" s="4"/>
      <c r="G61" s="4"/>
    </row>
    <row r="62" spans="6:7" x14ac:dyDescent="0.3">
      <c r="F62" s="4"/>
      <c r="G62" s="4"/>
    </row>
    <row r="63" spans="6:7" x14ac:dyDescent="0.3">
      <c r="F63" s="4"/>
      <c r="G63" s="4"/>
    </row>
    <row r="64" spans="6:7" x14ac:dyDescent="0.3">
      <c r="F64" s="4"/>
      <c r="G64" s="4"/>
    </row>
    <row r="65" spans="6:7" x14ac:dyDescent="0.3">
      <c r="F65" s="4"/>
      <c r="G65" s="4"/>
    </row>
    <row r="66" spans="6:7" x14ac:dyDescent="0.3">
      <c r="F66" s="4"/>
      <c r="G66" s="4"/>
    </row>
    <row r="67" spans="6:7" x14ac:dyDescent="0.3">
      <c r="F67" s="4"/>
      <c r="G67" s="4"/>
    </row>
    <row r="68" spans="6:7" x14ac:dyDescent="0.3">
      <c r="F68" s="4"/>
      <c r="G68" s="4"/>
    </row>
    <row r="69" spans="6:7" x14ac:dyDescent="0.3">
      <c r="F69" s="4"/>
      <c r="G69" s="4"/>
    </row>
    <row r="70" spans="6:7" x14ac:dyDescent="0.3">
      <c r="F70" s="4"/>
      <c r="G70" s="4"/>
    </row>
    <row r="71" spans="6:7" x14ac:dyDescent="0.3">
      <c r="F71" s="4"/>
      <c r="G71" s="4"/>
    </row>
    <row r="72" spans="6:7" x14ac:dyDescent="0.3">
      <c r="F72" s="4"/>
      <c r="G72" s="4"/>
    </row>
    <row r="73" spans="6:7" x14ac:dyDescent="0.3">
      <c r="F73" s="4"/>
      <c r="G73" s="4"/>
    </row>
    <row r="74" spans="6:7" x14ac:dyDescent="0.3">
      <c r="F74" s="4"/>
      <c r="G74" s="4"/>
    </row>
    <row r="75" spans="6:7" x14ac:dyDescent="0.3">
      <c r="F75" s="4"/>
      <c r="G75" s="4"/>
    </row>
    <row r="76" spans="6:7" x14ac:dyDescent="0.3">
      <c r="F76" s="4"/>
      <c r="G76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TTOR</vt:lpstr>
      <vt:lpstr>f(D)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Paul</cp:lastModifiedBy>
  <dcterms:created xsi:type="dcterms:W3CDTF">2020-08-20T13:20:07Z</dcterms:created>
  <dcterms:modified xsi:type="dcterms:W3CDTF">2021-07-26T11:00:13Z</dcterms:modified>
</cp:coreProperties>
</file>