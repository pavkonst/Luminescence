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I(D)\"/>
    </mc:Choice>
  </mc:AlternateContent>
  <xr:revisionPtr revIDLastSave="0" documentId="13_ncr:1_{54EB1F1F-CD45-415E-BFF6-B1D370F4A7A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TTOR" sheetId="1" r:id="rId1"/>
    <sheet name="f(D)" sheetId="2" r:id="rId2"/>
    <sheet name="TTOR and f(D)" sheetId="3" r:id="rId3"/>
    <sheet name="g(D)" sheetId="4" r:id="rId4"/>
  </sheets>
  <functionGroups builtInGroupCount="19"/>
  <definedNames>
    <definedName name="solver_adj" localSheetId="1" hidden="1">'f(D)'!$C$16,'f(D)'!$C$18,'f(D)'!$C$20</definedName>
    <definedName name="solver_adj" localSheetId="0" hidden="1">TTOR!$B$3,TTOR!$B$5,TTOR!$B$7,TTOR!$B$9</definedName>
    <definedName name="solver_adj" localSheetId="2" hidden="1">'TTOR and f(D)'!$D$3,'TTOR and f(D)'!$D$5,'TTOR and f(D)'!$D$7,'TTOR and f(D)'!$D$9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lhs1" localSheetId="1" hidden="1">'f(D)'!$C$16</definedName>
    <definedName name="solver_lhs1" localSheetId="0" hidden="1">TTOR!$B$3</definedName>
    <definedName name="solver_lhs1" localSheetId="2" hidden="1">'TTOR and f(D)'!$D$3</definedName>
    <definedName name="solver_lhs2" localSheetId="0" hidden="1">TTOR!$B$5</definedName>
    <definedName name="solver_lhs2" localSheetId="2" hidden="1">'TTOR and f(D)'!$D$5</definedName>
    <definedName name="solver_mip" localSheetId="1" hidden="1">2147483647</definedName>
    <definedName name="solver_mip" localSheetId="0" hidden="1">2147483647</definedName>
    <definedName name="solver_mip" localSheetId="2" hidden="1">2147483647</definedName>
    <definedName name="solver_mni" localSheetId="1" hidden="1">30</definedName>
    <definedName name="solver_mni" localSheetId="0" hidden="1">30</definedName>
    <definedName name="solver_mni" localSheetId="2" hidden="1">30</definedName>
    <definedName name="solver_mrt" localSheetId="1" hidden="1">0.075</definedName>
    <definedName name="solver_mrt" localSheetId="0" hidden="1">0.075</definedName>
    <definedName name="solver_mrt" localSheetId="2" hidden="1">0.075</definedName>
    <definedName name="solver_msl" localSheetId="1" hidden="1">2</definedName>
    <definedName name="solver_msl" localSheetId="0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0" hidden="1">2147483647</definedName>
    <definedName name="solver_nod" localSheetId="2" hidden="1">2147483647</definedName>
    <definedName name="solver_num" localSheetId="1" hidden="1">1</definedName>
    <definedName name="solver_num" localSheetId="0" hidden="1">2</definedName>
    <definedName name="solver_num" localSheetId="2" hidden="1">2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opt" localSheetId="1" hidden="1">'f(D)'!$Q$16</definedName>
    <definedName name="solver_opt" localSheetId="0" hidden="1">TTOR!$K$14</definedName>
    <definedName name="solver_opt" localSheetId="2" hidden="1">'TTOR and f(D)'!$A$6</definedName>
    <definedName name="solver_pre" localSheetId="1" hidden="1">0.000001</definedName>
    <definedName name="solver_pre" localSheetId="0" hidden="1">0.000001</definedName>
    <definedName name="solver_pre" localSheetId="2" hidden="1">0.000001</definedName>
    <definedName name="solver_rbv" localSheetId="1" hidden="1">1</definedName>
    <definedName name="solver_rbv" localSheetId="0" hidden="1">1</definedName>
    <definedName name="solver_rbv" localSheetId="2" hidden="1">1</definedName>
    <definedName name="solver_rel1" localSheetId="1" hidden="1">3</definedName>
    <definedName name="solver_rel1" localSheetId="0" hidden="1">3</definedName>
    <definedName name="solver_rel1" localSheetId="2" hidden="1">3</definedName>
    <definedName name="solver_rel2" localSheetId="0" hidden="1">1</definedName>
    <definedName name="solver_rel2" localSheetId="2" hidden="1">1</definedName>
    <definedName name="solver_rhs1" localSheetId="1" hidden="1">0.0000001</definedName>
    <definedName name="solver_rhs1" localSheetId="0" hidden="1">0.000001</definedName>
    <definedName name="solver_rhs1" localSheetId="2" hidden="1">0.000001</definedName>
    <definedName name="solver_rhs2" localSheetId="0" hidden="1">1</definedName>
    <definedName name="solver_rhs2" localSheetId="2" hidden="1">1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sd" localSheetId="1" hidden="1">0</definedName>
    <definedName name="solver_rsd" localSheetId="0" hidden="1">0</definedName>
    <definedName name="solver_rsd" localSheetId="2" hidden="1">0</definedName>
    <definedName name="solver_scl" localSheetId="1" hidden="1">1</definedName>
    <definedName name="solver_scl" localSheetId="0" hidden="1">1</definedName>
    <definedName name="solver_scl" localSheetId="2" hidden="1">1</definedName>
    <definedName name="solver_sho" localSheetId="1" hidden="1">2</definedName>
    <definedName name="solver_sho" localSheetId="0" hidden="1">2</definedName>
    <definedName name="solver_sho" localSheetId="2" hidden="1">2</definedName>
    <definedName name="solver_ssz" localSheetId="1" hidden="1">100</definedName>
    <definedName name="solver_ssz" localSheetId="0" hidden="1">100</definedName>
    <definedName name="solver_ssz" localSheetId="2" hidden="1">100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ol" localSheetId="1" hidden="1">0.01</definedName>
    <definedName name="solver_tol" localSheetId="0" hidden="1">0.01</definedName>
    <definedName name="solver_tol" localSheetId="2" hidden="1">0.01</definedName>
    <definedName name="solver_typ" localSheetId="1" hidden="1">2</definedName>
    <definedName name="solver_typ" localSheetId="0" hidden="1">2</definedName>
    <definedName name="solver_typ" localSheetId="2" hidden="1">2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3" l="1"/>
  <c r="B7" i="3"/>
  <c r="D20" i="2"/>
  <c r="C9" i="1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14" i="4"/>
  <c r="F15" i="3" l="1"/>
  <c r="F16" i="3"/>
  <c r="F17" i="3"/>
  <c r="F18" i="3"/>
  <c r="F19" i="3"/>
  <c r="F20" i="3"/>
  <c r="F21" i="3"/>
  <c r="F22" i="3"/>
  <c r="F23" i="3"/>
  <c r="F14" i="3"/>
  <c r="B13" i="3"/>
  <c r="B15" i="3" a="1"/>
  <c r="P18" i="3" l="1"/>
  <c r="P17" i="3"/>
  <c r="P14" i="3"/>
  <c r="P16" i="3"/>
  <c r="P23" i="3"/>
  <c r="P15" i="3"/>
  <c r="P22" i="3"/>
  <c r="P21" i="3"/>
  <c r="P20" i="3"/>
  <c r="P19" i="3"/>
  <c r="B15" i="3"/>
  <c r="H23" i="3"/>
  <c r="H22" i="3"/>
  <c r="H21" i="3"/>
  <c r="H20" i="3"/>
  <c r="H19" i="3"/>
  <c r="H18" i="3"/>
  <c r="H17" i="3"/>
  <c r="H16" i="3"/>
  <c r="H15" i="3"/>
  <c r="H14" i="3"/>
  <c r="C24" i="2"/>
  <c r="Q18" i="3" a="1"/>
  <c r="I23" i="3"/>
  <c r="Q23" i="3" a="1"/>
  <c r="Q19" i="3" a="1"/>
  <c r="Q17" i="3" a="1"/>
  <c r="I19" i="3"/>
  <c r="I15" i="3"/>
  <c r="I22" i="3"/>
  <c r="I16" i="3"/>
  <c r="Q16" i="3" a="1"/>
  <c r="Q15" i="3" a="1"/>
  <c r="I18" i="3"/>
  <c r="I17" i="3"/>
  <c r="I14" i="3"/>
  <c r="I21" i="3"/>
  <c r="I20" i="3"/>
  <c r="Q20" i="3" a="1"/>
  <c r="Q22" i="3" a="1"/>
  <c r="Q14" i="3" a="1"/>
  <c r="Q21" i="3" a="1"/>
  <c r="C26" i="2" a="1"/>
  <c r="Q18" i="3" l="1"/>
  <c r="R18" i="3" s="1"/>
  <c r="Q19" i="3"/>
  <c r="R19" i="3" s="1"/>
  <c r="Q23" i="3"/>
  <c r="R23" i="3" s="1"/>
  <c r="Q20" i="3"/>
  <c r="R20" i="3" s="1"/>
  <c r="Q21" i="3"/>
  <c r="R21" i="3" s="1"/>
  <c r="Q14" i="3"/>
  <c r="R14" i="3" s="1"/>
  <c r="Q16" i="3"/>
  <c r="R16" i="3" s="1"/>
  <c r="Q22" i="3"/>
  <c r="R22" i="3" s="1"/>
  <c r="Q17" i="3"/>
  <c r="R17" i="3" s="1"/>
  <c r="Q15" i="3"/>
  <c r="R15" i="3" s="1"/>
  <c r="J14" i="3"/>
  <c r="J22" i="3"/>
  <c r="K22" i="3" s="1"/>
  <c r="J19" i="3"/>
  <c r="K19" i="3" s="1"/>
  <c r="J16" i="3"/>
  <c r="K16" i="3" s="1"/>
  <c r="J23" i="3"/>
  <c r="K23" i="3" s="1"/>
  <c r="J21" i="3"/>
  <c r="K21" i="3" s="1"/>
  <c r="J18" i="3"/>
  <c r="K18" i="3" s="1"/>
  <c r="J15" i="3"/>
  <c r="K15" i="3" s="1"/>
  <c r="J20" i="3"/>
  <c r="K20" i="3" s="1"/>
  <c r="J17" i="3"/>
  <c r="K17" i="3" s="1"/>
  <c r="J19" i="2"/>
  <c r="J17" i="2"/>
  <c r="J23" i="2"/>
  <c r="J22" i="2"/>
  <c r="J21" i="2"/>
  <c r="J18" i="2"/>
  <c r="J25" i="2"/>
  <c r="J24" i="2"/>
  <c r="J20" i="2"/>
  <c r="H17" i="2"/>
  <c r="J16" i="2"/>
  <c r="H23" i="2"/>
  <c r="H24" i="2"/>
  <c r="H20" i="2"/>
  <c r="H19" i="2"/>
  <c r="H22" i="2"/>
  <c r="H16" i="2"/>
  <c r="H21" i="2"/>
  <c r="H18" i="2"/>
  <c r="H25" i="2"/>
  <c r="C26" i="2"/>
  <c r="E15" i="1"/>
  <c r="E16" i="1"/>
  <c r="E17" i="1"/>
  <c r="E18" i="1"/>
  <c r="E19" i="1"/>
  <c r="E20" i="1"/>
  <c r="E21" i="1"/>
  <c r="E22" i="1"/>
  <c r="E23" i="1"/>
  <c r="E14" i="1"/>
  <c r="F21" i="1"/>
  <c r="F17" i="1"/>
  <c r="F18" i="1"/>
  <c r="F15" i="1"/>
  <c r="F19" i="1"/>
  <c r="F20" i="1"/>
  <c r="F22" i="1"/>
  <c r="F23" i="1"/>
  <c r="F16" i="1"/>
  <c r="K21" i="2" a="1"/>
  <c r="K18" i="2" a="1"/>
  <c r="K16" i="2" a="1"/>
  <c r="K25" i="2" a="1"/>
  <c r="K23" i="2" a="1"/>
  <c r="K17" i="2" a="1"/>
  <c r="K22" i="2" a="1"/>
  <c r="K20" i="2" a="1"/>
  <c r="K24" i="2" a="1"/>
  <c r="K19" i="2" a="1"/>
  <c r="U14" i="3" l="1"/>
  <c r="K14" i="3"/>
  <c r="L14" i="3"/>
  <c r="K19" i="2"/>
  <c r="L19" i="2" s="1"/>
  <c r="N19" i="2" s="1"/>
  <c r="K18" i="2"/>
  <c r="L18" i="2" s="1"/>
  <c r="N18" i="2" s="1"/>
  <c r="K21" i="2"/>
  <c r="L21" i="2" s="1"/>
  <c r="N21" i="2" s="1"/>
  <c r="K25" i="2"/>
  <c r="L25" i="2" s="1"/>
  <c r="N25" i="2" s="1"/>
  <c r="K22" i="2"/>
  <c r="L22" i="2" s="1"/>
  <c r="N22" i="2" s="1"/>
  <c r="K20" i="2"/>
  <c r="L20" i="2" s="1"/>
  <c r="N20" i="2" s="1"/>
  <c r="K23" i="2"/>
  <c r="L23" i="2" s="1"/>
  <c r="N23" i="2" s="1"/>
  <c r="K17" i="2"/>
  <c r="L17" i="2" s="1"/>
  <c r="N17" i="2" s="1"/>
  <c r="K24" i="2"/>
  <c r="L24" i="2" s="1"/>
  <c r="N24" i="2" s="1"/>
  <c r="K16" i="2"/>
  <c r="L16" i="2" s="1"/>
  <c r="G22" i="1"/>
  <c r="H22" i="1" s="1"/>
  <c r="G15" i="1"/>
  <c r="H15" i="1" s="1"/>
  <c r="G17" i="1"/>
  <c r="H17" i="1" s="1"/>
  <c r="G16" i="1"/>
  <c r="H16" i="1" s="1"/>
  <c r="G21" i="1"/>
  <c r="H21" i="1" s="1"/>
  <c r="G19" i="1"/>
  <c r="H19" i="1" s="1"/>
  <c r="G23" i="1"/>
  <c r="H23" i="1" s="1"/>
  <c r="G18" i="1"/>
  <c r="H18" i="1" s="1"/>
  <c r="G20" i="1"/>
  <c r="H20" i="1" s="1"/>
  <c r="F14" i="1"/>
  <c r="M21" i="3" l="1"/>
  <c r="M14" i="3"/>
  <c r="M19" i="3"/>
  <c r="M18" i="3"/>
  <c r="M15" i="3"/>
  <c r="M16" i="3"/>
  <c r="M20" i="3"/>
  <c r="M23" i="3"/>
  <c r="M17" i="3"/>
  <c r="M22" i="3"/>
  <c r="N16" i="2"/>
  <c r="O16" i="2"/>
  <c r="G14" i="1"/>
  <c r="I14" i="1" s="1"/>
  <c r="N14" i="3" l="1"/>
  <c r="P16" i="2"/>
  <c r="P17" i="2"/>
  <c r="P19" i="2"/>
  <c r="P18" i="2"/>
  <c r="P24" i="2"/>
  <c r="P25" i="2"/>
  <c r="P22" i="2"/>
  <c r="P23" i="2"/>
  <c r="P20" i="2"/>
  <c r="P21" i="2"/>
  <c r="H14" i="1"/>
  <c r="J14" i="1" s="1"/>
  <c r="J21" i="1"/>
  <c r="J20" i="1"/>
  <c r="J19" i="1"/>
  <c r="J23" i="1"/>
  <c r="J22" i="1"/>
  <c r="J17" i="1"/>
  <c r="J15" i="1"/>
  <c r="J18" i="1"/>
  <c r="J16" i="1"/>
  <c r="K14" i="1" l="1"/>
  <c r="Q16" i="2"/>
  <c r="T14" i="3"/>
  <c r="V14" i="3" s="1"/>
  <c r="T15" i="3"/>
  <c r="V15" i="3" s="1"/>
  <c r="T19" i="3"/>
  <c r="V19" i="3" s="1"/>
  <c r="T20" i="3"/>
  <c r="V20" i="3" s="1"/>
  <c r="T18" i="3"/>
  <c r="V18" i="3" s="1"/>
  <c r="T17" i="3"/>
  <c r="V17" i="3" s="1"/>
  <c r="T22" i="3"/>
  <c r="V22" i="3" s="1"/>
  <c r="T21" i="3"/>
  <c r="V21" i="3" s="1"/>
  <c r="T16" i="3"/>
  <c r="V16" i="3" s="1"/>
  <c r="T23" i="3"/>
  <c r="V23" i="3" s="1"/>
  <c r="W14" i="3" l="1"/>
  <c r="A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<sst xmlns="http://schemas.openxmlformats.org/spreadsheetml/2006/main" count="64" uniqueCount="23">
  <si>
    <t>w</t>
  </si>
  <si>
    <t>z</t>
  </si>
  <si>
    <t>B</t>
  </si>
  <si>
    <t>a</t>
  </si>
  <si>
    <t>Dc</t>
  </si>
  <si>
    <t>I</t>
  </si>
  <si>
    <t xml:space="preserve">Dose </t>
  </si>
  <si>
    <t xml:space="preserve">I </t>
  </si>
  <si>
    <t>Abs(EXP-THEOR)</t>
  </si>
  <si>
    <t>Afit</t>
  </si>
  <si>
    <t>fom</t>
  </si>
  <si>
    <t>fom(total)</t>
  </si>
  <si>
    <t>factors</t>
  </si>
  <si>
    <r>
      <t>z</t>
    </r>
    <r>
      <rPr>
        <vertAlign val="subscript"/>
        <sz val="11"/>
        <color theme="1"/>
        <rFont val="Calibri"/>
        <family val="2"/>
        <scheme val="minor"/>
      </rPr>
      <t>B</t>
    </r>
  </si>
  <si>
    <t>k</t>
  </si>
  <si>
    <t>f(D) exp</t>
  </si>
  <si>
    <t>f(D) theo</t>
  </si>
  <si>
    <t>ABS(Exp-Theo)</t>
  </si>
  <si>
    <t>FOM</t>
  </si>
  <si>
    <t>FOM%</t>
  </si>
  <si>
    <t>FOM tot both</t>
  </si>
  <si>
    <t>D</t>
  </si>
  <si>
    <t>g(D)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</si>
</sst>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vertAlign val="subscript"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3" borderId="5" applyNumberFormat="0" applyAlignment="0" applyProtection="0"/>
    <xf numFmtId="0" fontId="13" fillId="14" borderId="6" applyNumberFormat="0" applyAlignment="0" applyProtection="0"/>
    <xf numFmtId="0" fontId="14" fillId="14" borderId="5" applyNumberFormat="0" applyAlignment="0" applyProtection="0"/>
    <xf numFmtId="0" fontId="15" fillId="0" borderId="7" applyNumberFormat="0" applyFill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0" fontId="2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0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0" fontId="1" fillId="16" borderId="9" applyNumberFormat="0" applyFont="0" applyAlignment="0" applyProtection="0"/>
  </cellStyleXfs>
  <cellXfs count="24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0" fontId="0" fillId="5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0" fontId="2" fillId="8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11" fontId="0" fillId="0" borderId="1" xfId="0" applyNumberFormat="1" applyBorder="1" applyAlignment="1">
      <alignment horizontal="center"/>
    </xf>
    <xf numFmtId="11" fontId="0" fillId="0" borderId="0" xfId="0" applyNumberFormat="1" applyAlignment="1" applyProtection="1">
      <alignment horizontal="center"/>
      <protection locked="0"/>
    </xf>
    <xf numFmtId="1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42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4E0B6F6D-6B8A-4E53-A201-57B472657658}"/>
    <cellStyle name="Normal 3" xfId="42" xr:uid="{CE5C6AC2-9CCA-400B-9757-78C23AE02A6E}"/>
    <cellStyle name="Note 2" xfId="43" xr:uid="{7E703CB9-8C6D-42D1-9CEB-C8D47C4D04B1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4340639852451"/>
          <c:y val="4.844536478394746E-2"/>
          <c:w val="0.81055245584961899"/>
          <c:h val="0.87826877700893446"/>
        </c:manualLayout>
      </c:layout>
      <c:scatterChart>
        <c:scatterStyle val="lineMarker"/>
        <c:varyColors val="0"/>
        <c:ser>
          <c:idx val="0"/>
          <c:order val="0"/>
          <c:tx>
            <c:v>Expe</c:v>
          </c:tx>
          <c:spPr>
            <a:ln w="28575">
              <a:noFill/>
            </a:ln>
          </c:spPr>
          <c:xVal>
            <c:numRef>
              <c:f>TTOR!$B$14:$B$1400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TTOR!$C$14:$C$1400</c:f>
              <c:numCache>
                <c:formatCode>General</c:formatCode>
                <c:ptCount val="1387"/>
                <c:pt idx="0">
                  <c:v>1.038045084</c:v>
                </c:pt>
                <c:pt idx="1">
                  <c:v>2.2738235320000002</c:v>
                </c:pt>
                <c:pt idx="2">
                  <c:v>6.00313871</c:v>
                </c:pt>
                <c:pt idx="3">
                  <c:v>13.90731345</c:v>
                </c:pt>
                <c:pt idx="4">
                  <c:v>32.21870706</c:v>
                </c:pt>
                <c:pt idx="5">
                  <c:v>93.383526459999999</c:v>
                </c:pt>
                <c:pt idx="6">
                  <c:v>189.83591430000001</c:v>
                </c:pt>
                <c:pt idx="7">
                  <c:v>326.22220099999998</c:v>
                </c:pt>
                <c:pt idx="8">
                  <c:v>415.83296890000003</c:v>
                </c:pt>
                <c:pt idx="9">
                  <c:v>456.519633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3C-411F-91F3-FE6C4D902B20}"/>
            </c:ext>
          </c:extLst>
        </c:ser>
        <c:ser>
          <c:idx val="1"/>
          <c:order val="1"/>
          <c:tx>
            <c:v>Theor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TTOR!$B$14:$B$1400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TTOR!$G$14:$G$1400</c:f>
              <c:numCache>
                <c:formatCode>General</c:formatCode>
                <c:ptCount val="1387"/>
                <c:pt idx="0">
                  <c:v>1.1993272267566522</c:v>
                </c:pt>
                <c:pt idx="1">
                  <c:v>2.4681990815050447</c:v>
                </c:pt>
                <c:pt idx="2">
                  <c:v>6.3452083909995691</c:v>
                </c:pt>
                <c:pt idx="3">
                  <c:v>13.753954385610836</c:v>
                </c:pt>
                <c:pt idx="4">
                  <c:v>32.218707432410696</c:v>
                </c:pt>
                <c:pt idx="5">
                  <c:v>93.541937295721453</c:v>
                </c:pt>
                <c:pt idx="6">
                  <c:v>189.18064873150604</c:v>
                </c:pt>
                <c:pt idx="7">
                  <c:v>320.4902976056859</c:v>
                </c:pt>
                <c:pt idx="8">
                  <c:v>434.07808367459108</c:v>
                </c:pt>
                <c:pt idx="9">
                  <c:v>456.51985861173443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C-411F-91F3-FE6C4D902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3024"/>
        <c:axId val="138493952"/>
      </c:scatterChart>
      <c:valAx>
        <c:axId val="115473024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crossAx val="138493952"/>
        <c:crosses val="autoZero"/>
        <c:crossBetween val="midCat"/>
      </c:valAx>
      <c:valAx>
        <c:axId val="138493952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crossAx val="115473024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'f(D)'!$F$16:$F$33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'f(D)'!$H$16:$H$33</c:f>
              <c:numCache>
                <c:formatCode>0.00E+00</c:formatCode>
                <c:ptCount val="18"/>
                <c:pt idx="0">
                  <c:v>1</c:v>
                </c:pt>
                <c:pt idx="1">
                  <c:v>1.0781139011487166</c:v>
                </c:pt>
                <c:pt idx="2">
                  <c:v>1.149453793879593</c:v>
                </c:pt>
                <c:pt idx="3">
                  <c:v>1.3106311567168094</c:v>
                </c:pt>
                <c:pt idx="4">
                  <c:v>1.4699736615323784</c:v>
                </c:pt>
                <c:pt idx="5">
                  <c:v>1.749189535458229</c:v>
                </c:pt>
                <c:pt idx="6">
                  <c:v>1.7215085305705637</c:v>
                </c:pt>
                <c:pt idx="7">
                  <c:v>1.3857621838455767</c:v>
                </c:pt>
                <c:pt idx="8">
                  <c:v>0.73725745172919743</c:v>
                </c:pt>
                <c:pt idx="9">
                  <c:v>0.39836742296317984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F-419D-9249-D8531E94BAF0}"/>
            </c:ext>
          </c:extLst>
        </c:ser>
        <c:ser>
          <c:idx val="1"/>
          <c:order val="1"/>
          <c:tx>
            <c:v>Theo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'f(D)'!$F$16:$F$33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'f(D)'!$L$16:$L$33</c:f>
              <c:numCache>
                <c:formatCode>0.00E+00</c:formatCode>
                <c:ptCount val="18"/>
                <c:pt idx="0">
                  <c:v>1.0185290592002414</c:v>
                </c:pt>
                <c:pt idx="1">
                  <c:v>1.0382422692477937</c:v>
                </c:pt>
                <c:pt idx="2">
                  <c:v>1.0989611228533096</c:v>
                </c:pt>
                <c:pt idx="3">
                  <c:v>1.2148712390142282</c:v>
                </c:pt>
                <c:pt idx="4">
                  <c:v>1.4699792138447809</c:v>
                </c:pt>
                <c:pt idx="5">
                  <c:v>1.7881343263516161</c:v>
                </c:pt>
                <c:pt idx="6">
                  <c:v>1.720395619896057</c:v>
                </c:pt>
                <c:pt idx="7">
                  <c:v>1.3577521455985242</c:v>
                </c:pt>
                <c:pt idx="8">
                  <c:v>0.76867539263898021</c:v>
                </c:pt>
                <c:pt idx="9">
                  <c:v>0.39850269658990439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5F-419D-9249-D8531E94B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170303"/>
        <c:axId val="1725170719"/>
      </c:scatterChart>
      <c:valAx>
        <c:axId val="17251703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719"/>
        <c:crosses val="autoZero"/>
        <c:crossBetween val="midCat"/>
      </c:valAx>
      <c:valAx>
        <c:axId val="172517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17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2073272696866"/>
          <c:y val="4.1586738386096798E-2"/>
          <c:w val="0.81055245584961899"/>
          <c:h val="0.87826877700893446"/>
        </c:manualLayout>
      </c:layout>
      <c:scatterChart>
        <c:scatterStyle val="lineMarker"/>
        <c:varyColors val="0"/>
        <c:ser>
          <c:idx val="0"/>
          <c:order val="0"/>
          <c:tx>
            <c:v>Expe</c:v>
          </c:tx>
          <c:spPr>
            <a:ln w="28575">
              <a:noFill/>
            </a:ln>
          </c:spPr>
          <c:xVal>
            <c:numRef>
              <c:f>'TTOR and f(D)'!$D$14:$D$1400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f(D)'!$E$14:$E$1400</c:f>
              <c:numCache>
                <c:formatCode>General</c:formatCode>
                <c:ptCount val="1387"/>
                <c:pt idx="0">
                  <c:v>1.038045084</c:v>
                </c:pt>
                <c:pt idx="1">
                  <c:v>2.2738235320000002</c:v>
                </c:pt>
                <c:pt idx="2">
                  <c:v>6.00313871</c:v>
                </c:pt>
                <c:pt idx="3">
                  <c:v>13.90731345</c:v>
                </c:pt>
                <c:pt idx="4">
                  <c:v>32.21870706</c:v>
                </c:pt>
                <c:pt idx="5">
                  <c:v>93.383526459999999</c:v>
                </c:pt>
                <c:pt idx="6">
                  <c:v>189.83591430000001</c:v>
                </c:pt>
                <c:pt idx="7">
                  <c:v>326.22220099999998</c:v>
                </c:pt>
                <c:pt idx="8">
                  <c:v>415.83296890000003</c:v>
                </c:pt>
                <c:pt idx="9">
                  <c:v>456.519633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8-4EA7-839F-493651A5C762}"/>
            </c:ext>
          </c:extLst>
        </c:ser>
        <c:ser>
          <c:idx val="1"/>
          <c:order val="1"/>
          <c:tx>
            <c:v>Theor</c:v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'TTOR and f(D)'!$D$14:$D$1400</c:f>
              <c:numCache>
                <c:formatCode>General</c:formatCode>
                <c:ptCount val="1387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f(D)'!$J$14:$J$1400</c:f>
              <c:numCache>
                <c:formatCode>General</c:formatCode>
                <c:ptCount val="1387"/>
                <c:pt idx="0">
                  <c:v>1.057271717749118</c:v>
                </c:pt>
                <c:pt idx="1">
                  <c:v>2.1896826047952862</c:v>
                </c:pt>
                <c:pt idx="2">
                  <c:v>5.7390773347798785</c:v>
                </c:pt>
                <c:pt idx="3">
                  <c:v>12.889837932974631</c:v>
                </c:pt>
                <c:pt idx="4">
                  <c:v>32.219087357951217</c:v>
                </c:pt>
                <c:pt idx="5">
                  <c:v>95.516226299491066</c:v>
                </c:pt>
                <c:pt idx="6">
                  <c:v>189.83438233464636</c:v>
                </c:pt>
                <c:pt idx="7">
                  <c:v>319.75183613963048</c:v>
                </c:pt>
                <c:pt idx="8">
                  <c:v>433.50327589127966</c:v>
                </c:pt>
                <c:pt idx="9">
                  <c:v>456.51911962289421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8-4EA7-839F-493651A5C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3024"/>
        <c:axId val="138493952"/>
      </c:scatterChart>
      <c:valAx>
        <c:axId val="115473024"/>
        <c:scaling>
          <c:logBase val="10"/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crossAx val="138493952"/>
        <c:crosses val="autoZero"/>
        <c:crossBetween val="midCat"/>
      </c:valAx>
      <c:valAx>
        <c:axId val="138493952"/>
        <c:scaling>
          <c:logBase val="10"/>
          <c:orientation val="minMax"/>
        </c:scaling>
        <c:delete val="0"/>
        <c:axPos val="l"/>
        <c:majorGridlines/>
        <c:numFmt formatCode="0.00E+00" sourceLinked="0"/>
        <c:majorTickMark val="out"/>
        <c:minorTickMark val="none"/>
        <c:tickLblPos val="nextTo"/>
        <c:crossAx val="115473024"/>
        <c:crossesAt val="1.0000000000000002E-2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'TTOR and f(D)'!$D$14:$D$31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f(D)'!$F$14:$F$31</c:f>
              <c:numCache>
                <c:formatCode>0.00E+00</c:formatCode>
                <c:ptCount val="18"/>
                <c:pt idx="0">
                  <c:v>1</c:v>
                </c:pt>
                <c:pt idx="1">
                  <c:v>1.0781139011487166</c:v>
                </c:pt>
                <c:pt idx="2">
                  <c:v>1.149453793879593</c:v>
                </c:pt>
                <c:pt idx="3">
                  <c:v>1.3106311567168094</c:v>
                </c:pt>
                <c:pt idx="4">
                  <c:v>1.4699736615323784</c:v>
                </c:pt>
                <c:pt idx="5">
                  <c:v>1.749189535458229</c:v>
                </c:pt>
                <c:pt idx="6">
                  <c:v>1.7215085305705637</c:v>
                </c:pt>
                <c:pt idx="7">
                  <c:v>1.3857621838455767</c:v>
                </c:pt>
                <c:pt idx="8">
                  <c:v>0.73725745172919743</c:v>
                </c:pt>
                <c:pt idx="9">
                  <c:v>0.39836742296317984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B-42EC-AEAD-A031EEDF1F98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'TTOR and f(D)'!$D$14:$D$31</c:f>
              <c:numCache>
                <c:formatCode>General</c:formatCode>
                <c:ptCount val="18"/>
                <c:pt idx="0">
                  <c:v>1.0859242280000001</c:v>
                </c:pt>
                <c:pt idx="1">
                  <c:v>2.2063551339999998</c:v>
                </c:pt>
                <c:pt idx="2">
                  <c:v>5.4634901830000002</c:v>
                </c:pt>
                <c:pt idx="3">
                  <c:v>11.10058999</c:v>
                </c:pt>
                <c:pt idx="4">
                  <c:v>22.92882827</c:v>
                </c:pt>
                <c:pt idx="5">
                  <c:v>55.84916784</c:v>
                </c:pt>
                <c:pt idx="6">
                  <c:v>115.3592718</c:v>
                </c:pt>
                <c:pt idx="7">
                  <c:v>246.26807439999999</c:v>
                </c:pt>
                <c:pt idx="8">
                  <c:v>590.04217449999999</c:v>
                </c:pt>
                <c:pt idx="9">
                  <c:v>1198.8337200000001</c:v>
                </c:pt>
              </c:numCache>
            </c:numRef>
          </c:xVal>
          <c:yVal>
            <c:numRef>
              <c:f>'TTOR and f(D)'!$R$14:$R$31</c:f>
              <c:numCache>
                <c:formatCode>0.00E+00</c:formatCode>
                <c:ptCount val="18"/>
                <c:pt idx="0">
                  <c:v>1.0185135649947317</c:v>
                </c:pt>
                <c:pt idx="1">
                  <c:v>1.0382106415725627</c:v>
                </c:pt>
                <c:pt idx="2">
                  <c:v>1.0988834566442283</c:v>
                </c:pt>
                <c:pt idx="3">
                  <c:v>1.2147338124334308</c:v>
                </c:pt>
                <c:pt idx="4">
                  <c:v>1.4699788905277105</c:v>
                </c:pt>
                <c:pt idx="5">
                  <c:v>1.7891229007742437</c:v>
                </c:pt>
                <c:pt idx="6">
                  <c:v>1.721480442066559</c:v>
                </c:pt>
                <c:pt idx="7">
                  <c:v>1.3582654627036945</c:v>
                </c:pt>
                <c:pt idx="8">
                  <c:v>0.7685799560023443</c:v>
                </c:pt>
                <c:pt idx="9">
                  <c:v>0.39836368991250409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BB-42EC-AEAD-A031EEDF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104608"/>
        <c:axId val="1312102112"/>
      </c:scatterChart>
      <c:valAx>
        <c:axId val="131210460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102112"/>
        <c:crosses val="autoZero"/>
        <c:crossBetween val="midCat"/>
      </c:valAx>
      <c:valAx>
        <c:axId val="131210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10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'g(D)'!$F$14:$F$31</c:f>
              <c:numCache>
                <c:formatCode>0.00E+00</c:formatCode>
                <c:ptCount val="18"/>
                <c:pt idx="0">
                  <c:v>5.3259478999999998E-2</c:v>
                </c:pt>
                <c:pt idx="1">
                  <c:v>0.10453646799999999</c:v>
                </c:pt>
                <c:pt idx="2">
                  <c:v>0.15863001199999999</c:v>
                </c:pt>
                <c:pt idx="3">
                  <c:v>0.210716926</c:v>
                </c:pt>
                <c:pt idx="4">
                  <c:v>0.26072637799999998</c:v>
                </c:pt>
                <c:pt idx="5">
                  <c:v>0.32260457399999998</c:v>
                </c:pt>
                <c:pt idx="6">
                  <c:v>0.36853096800000001</c:v>
                </c:pt>
                <c:pt idx="7">
                  <c:v>0.41727646600000001</c:v>
                </c:pt>
                <c:pt idx="8">
                  <c:v>0.48092895499999999</c:v>
                </c:pt>
                <c:pt idx="9">
                  <c:v>0.53496294300000002</c:v>
                </c:pt>
                <c:pt idx="10">
                  <c:v>0.58981105599999994</c:v>
                </c:pt>
                <c:pt idx="11">
                  <c:v>0.63320075799999997</c:v>
                </c:pt>
                <c:pt idx="12">
                  <c:v>0.83368488299999999</c:v>
                </c:pt>
                <c:pt idx="13">
                  <c:v>0.96942122500000005</c:v>
                </c:pt>
                <c:pt idx="14">
                  <c:v>1.199493981</c:v>
                </c:pt>
                <c:pt idx="15">
                  <c:v>1.6218820519999999</c:v>
                </c:pt>
                <c:pt idx="16">
                  <c:v>3.240390144</c:v>
                </c:pt>
                <c:pt idx="17">
                  <c:v>6.8280504999999998</c:v>
                </c:pt>
              </c:numCache>
            </c:numRef>
          </c:xVal>
          <c:yVal>
            <c:numRef>
              <c:f>'g(D)'!$K$14:$K$31</c:f>
              <c:numCache>
                <c:formatCode>0.00E+00</c:formatCode>
                <c:ptCount val="18"/>
                <c:pt idx="0">
                  <c:v>1.125779975919003</c:v>
                </c:pt>
                <c:pt idx="1">
                  <c:v>1.2760115788029394</c:v>
                </c:pt>
                <c:pt idx="2">
                  <c:v>1.4759525059578509</c:v>
                </c:pt>
                <c:pt idx="3">
                  <c:v>1.7219515062010196</c:v>
                </c:pt>
                <c:pt idx="4">
                  <c:v>2.0210053630785123</c:v>
                </c:pt>
                <c:pt idx="5">
                  <c:v>2.4821165450263858</c:v>
                </c:pt>
                <c:pt idx="6">
                  <c:v>2.8462087606458004</c:v>
                </c:pt>
                <c:pt idx="7">
                  <c:v>3.0804125400109772</c:v>
                </c:pt>
                <c:pt idx="8">
                  <c:v>2.6055202638012145</c:v>
                </c:pt>
                <c:pt idx="9">
                  <c:v>1.5388494428288115</c:v>
                </c:pt>
                <c:pt idx="10">
                  <c:v>0.66108680977737855</c:v>
                </c:pt>
                <c:pt idx="11">
                  <c:v>0.28490765142703189</c:v>
                </c:pt>
                <c:pt idx="12">
                  <c:v>-0.25141865578452305</c:v>
                </c:pt>
                <c:pt idx="13">
                  <c:v>-0.45912672156434375</c:v>
                </c:pt>
                <c:pt idx="14">
                  <c:v>-0.80566097183191143</c:v>
                </c:pt>
                <c:pt idx="15">
                  <c:v>-1.4415056292704116</c:v>
                </c:pt>
                <c:pt idx="16">
                  <c:v>-3.8779322567164289</c:v>
                </c:pt>
                <c:pt idx="17">
                  <c:v>-9.2786289009397542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1-40A9-8E35-064377A0B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909392"/>
        <c:axId val="1318910224"/>
      </c:scatterChart>
      <c:valAx>
        <c:axId val="131890939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10224"/>
        <c:crossesAt val="-10"/>
        <c:crossBetween val="midCat"/>
      </c:valAx>
      <c:valAx>
        <c:axId val="13189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09392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160020</xdr:rowOff>
    </xdr:from>
    <xdr:to>
      <xdr:col>9</xdr:col>
      <xdr:colOff>462915</xdr:colOff>
      <xdr:row>21</xdr:row>
      <xdr:rowOff>15240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</xdr:colOff>
      <xdr:row>2</xdr:row>
      <xdr:rowOff>76200</xdr:rowOff>
    </xdr:from>
    <xdr:to>
      <xdr:col>4</xdr:col>
      <xdr:colOff>91440</xdr:colOff>
      <xdr:row>7</xdr:row>
      <xdr:rowOff>144780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A81D28BA-9424-4954-ACA5-BD6985626A65}"/>
            </a:ext>
          </a:extLst>
        </xdr:cNvPr>
        <xdr:cNvSpPr txBox="1"/>
      </xdr:nvSpPr>
      <xdr:spPr>
        <a:xfrm>
          <a:off x="327660" y="441960"/>
          <a:ext cx="2506980" cy="98298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/>
          <a:r>
            <a:rPr lang="en-US" sz="1100" b="1" u="sng"/>
            <a:t>TTOR</a:t>
          </a:r>
          <a:r>
            <a:rPr lang="en-US" sz="1100" b="1" u="sng" baseline="0"/>
            <a:t> f(D)</a:t>
          </a:r>
        </a:p>
        <a:p>
          <a:pPr algn="l"/>
          <a:r>
            <a:rPr lang="en-US" sz="1100" b="1" u="none" baseline="0"/>
            <a:t>f(D)=1/kD[1-(W(z2)/B)^a]</a:t>
          </a:r>
        </a:p>
        <a:p>
          <a:pPr algn="l"/>
          <a:r>
            <a:rPr lang="en-US" sz="1100" b="1" u="none" baseline="0"/>
            <a:t>k=(1/B)^(a)*a/Dc*W[ZB]^(a)/(1+W[ZB])</a:t>
          </a:r>
        </a:p>
        <a:p>
          <a:pPr algn="l"/>
          <a:r>
            <a:rPr lang="en-US" sz="1100" b="1" u="none" baseline="0"/>
            <a:t>z2=zBexp(-D/Dc)</a:t>
          </a:r>
        </a:p>
        <a:p>
          <a:pPr algn="l"/>
          <a:r>
            <a:rPr lang="en-US" sz="1100" b="1" u="none" baseline="0"/>
            <a:t>zR=BexpB</a:t>
          </a:r>
          <a:endParaRPr lang="el-GR" sz="1100" b="1" u="none"/>
        </a:p>
      </xdr:txBody>
    </xdr:sp>
    <xdr:clientData/>
  </xdr:twoCellAnchor>
  <xdr:twoCellAnchor>
    <xdr:from>
      <xdr:col>6</xdr:col>
      <xdr:colOff>561975</xdr:colOff>
      <xdr:row>1</xdr:row>
      <xdr:rowOff>15240</xdr:rowOff>
    </xdr:from>
    <xdr:to>
      <xdr:col>14</xdr:col>
      <xdr:colOff>276225</xdr:colOff>
      <xdr:row>16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2A6306-9730-4F02-B87F-39AAB8F5C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1</xdr:row>
      <xdr:rowOff>19050</xdr:rowOff>
    </xdr:from>
    <xdr:to>
      <xdr:col>10</xdr:col>
      <xdr:colOff>100965</xdr:colOff>
      <xdr:row>20</xdr:row>
      <xdr:rowOff>64770</xdr:rowOff>
    </xdr:to>
    <xdr:graphicFrame macro="">
      <xdr:nvGraphicFramePr>
        <xdr:cNvPr id="2" name="1 - Γράφημα">
          <a:extLst>
            <a:ext uri="{FF2B5EF4-FFF2-40B4-BE49-F238E27FC236}">
              <a16:creationId xmlns:a16="http://schemas.microsoft.com/office/drawing/2014/main" id="{A36DBAF2-9B15-42FE-9E18-6656B528A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4</xdr:row>
      <xdr:rowOff>157162</xdr:rowOff>
    </xdr:from>
    <xdr:to>
      <xdr:col>18</xdr:col>
      <xdr:colOff>323849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F757ABB-F0FE-4D61-BF29-E84604AD1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0</xdr:row>
      <xdr:rowOff>80962</xdr:rowOff>
    </xdr:from>
    <xdr:to>
      <xdr:col>19</xdr:col>
      <xdr:colOff>142875</xdr:colOff>
      <xdr:row>14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338C4C-5308-4A0F-A61A-50A77AB03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____1"/>
  <dimension ref="A2:K63"/>
  <sheetViews>
    <sheetView tabSelected="1" zoomScaleNormal="100" workbookViewId="0">
      <selection activeCell="C9" sqref="C9"/>
    </sheetView>
  </sheetViews>
  <sheetFormatPr defaultRowHeight="15" x14ac:dyDescent="0.25"/>
  <cols>
    <col min="1" max="1" width="9.5703125" customWidth="1"/>
    <col min="2" max="2" width="15.140625" customWidth="1"/>
    <col min="3" max="3" width="18.7109375" customWidth="1"/>
    <col min="4" max="4" width="16.7109375" customWidth="1"/>
    <col min="5" max="5" width="16.28515625" customWidth="1"/>
    <col min="6" max="7" width="12" bestFit="1" customWidth="1"/>
    <col min="8" max="8" width="14.42578125" bestFit="1" customWidth="1"/>
    <col min="11" max="11" width="11" bestFit="1" customWidth="1"/>
    <col min="12" max="12" width="8.7109375" customWidth="1"/>
  </cols>
  <sheetData>
    <row r="2" spans="1:11" x14ac:dyDescent="0.25">
      <c r="A2" t="s">
        <v>12</v>
      </c>
      <c r="B2" s="8" t="s">
        <v>2</v>
      </c>
    </row>
    <row r="3" spans="1:11" x14ac:dyDescent="0.25">
      <c r="B3" s="7">
        <v>1.1529741210015989</v>
      </c>
    </row>
    <row r="4" spans="1:11" x14ac:dyDescent="0.25">
      <c r="B4" s="9" t="s">
        <v>3</v>
      </c>
    </row>
    <row r="5" spans="1:11" x14ac:dyDescent="0.25">
      <c r="B5" s="7">
        <v>5.083520856184106E-2</v>
      </c>
    </row>
    <row r="6" spans="1:11" x14ac:dyDescent="0.25">
      <c r="B6" s="10" t="s">
        <v>4</v>
      </c>
    </row>
    <row r="7" spans="1:11" x14ac:dyDescent="0.25">
      <c r="A7" s="1">
        <v>1</v>
      </c>
      <c r="B7" s="7">
        <v>9.9037591181397353</v>
      </c>
    </row>
    <row r="8" spans="1:11" x14ac:dyDescent="0.25">
      <c r="B8" s="11" t="s">
        <v>5</v>
      </c>
    </row>
    <row r="9" spans="1:11" x14ac:dyDescent="0.25">
      <c r="A9">
        <v>1000</v>
      </c>
      <c r="B9" s="6">
        <v>0.45755132609137483</v>
      </c>
      <c r="C9" s="3">
        <f>B9*A9</f>
        <v>457.55132609137485</v>
      </c>
    </row>
    <row r="13" spans="1:11" x14ac:dyDescent="0.25">
      <c r="B13" s="4" t="s">
        <v>6</v>
      </c>
      <c r="C13" s="4" t="s">
        <v>7</v>
      </c>
      <c r="D13" s="2"/>
      <c r="E13" s="5" t="s">
        <v>1</v>
      </c>
      <c r="F13" s="5" t="s">
        <v>0</v>
      </c>
      <c r="G13" s="5" t="s">
        <v>5</v>
      </c>
      <c r="H13" s="5" t="s">
        <v>8</v>
      </c>
      <c r="I13" s="5" t="s">
        <v>9</v>
      </c>
      <c r="J13" s="5" t="s">
        <v>10</v>
      </c>
      <c r="K13" s="5" t="s">
        <v>11</v>
      </c>
    </row>
    <row r="14" spans="1:11" x14ac:dyDescent="0.25">
      <c r="B14" s="1">
        <v>1.0859242280000001</v>
      </c>
      <c r="C14" s="1">
        <v>1.038045084</v>
      </c>
      <c r="D14" s="2"/>
      <c r="E14" s="6">
        <f>$B$3*EXP($B$3)*EXP(-B14/($B$7*A$7))</f>
        <v>3.2728829590695767</v>
      </c>
      <c r="F14" s="2">
        <f>lmb_1_0(E14)</f>
        <v>1.0949565516919744</v>
      </c>
      <c r="G14" s="2">
        <f>$B$9*A$9*(1-(F14/$B$3)^$B$5)</f>
        <v>1.1993272267566522</v>
      </c>
      <c r="H14" s="2">
        <f>ABS(G14-C14)</f>
        <v>0.1612821427566522</v>
      </c>
      <c r="I14" s="2">
        <f>SUM(G14:G50)</f>
        <v>1549.7962224365217</v>
      </c>
      <c r="J14" s="2">
        <f t="shared" ref="J14:J24" si="0">H14/$I$14</f>
        <v>1.0406667691000788E-4</v>
      </c>
      <c r="K14" s="2">
        <f>SUM(J14:J50)*100</f>
        <v>1.6545405533769399</v>
      </c>
    </row>
    <row r="15" spans="1:11" x14ac:dyDescent="0.25">
      <c r="B15" s="1">
        <v>2.2063551339999998</v>
      </c>
      <c r="C15" s="1">
        <v>2.2738235320000002</v>
      </c>
      <c r="D15" s="2"/>
      <c r="E15" s="6">
        <f t="shared" ref="E15:E24" si="1">$B$3*EXP($B$3)*EXP(-B15/($B$7*A$7))</f>
        <v>2.9227920868541712</v>
      </c>
      <c r="F15" s="2">
        <f t="shared" ref="F15:F24" si="2">lmb_1_0(E15)</f>
        <v>1.0365965525277774</v>
      </c>
      <c r="G15" s="2">
        <f t="shared" ref="G15:G24" si="3">$B$9*A$9*(1-(F15/$B$3)^$B$5)</f>
        <v>2.4681990815050447</v>
      </c>
      <c r="H15" s="2">
        <f t="shared" ref="H15:H24" si="4">ABS(G15-C15)</f>
        <v>0.19437554950504454</v>
      </c>
      <c r="I15" s="2"/>
      <c r="J15" s="2">
        <f t="shared" si="0"/>
        <v>1.2542006922655665E-4</v>
      </c>
      <c r="K15" s="2"/>
    </row>
    <row r="16" spans="1:11" x14ac:dyDescent="0.25">
      <c r="B16" s="1">
        <v>5.4634901830000002</v>
      </c>
      <c r="C16" s="1">
        <v>6.00313871</v>
      </c>
      <c r="D16" s="2"/>
      <c r="E16" s="6">
        <f t="shared" si="1"/>
        <v>2.1036221482181365</v>
      </c>
      <c r="F16" s="2">
        <f t="shared" si="2"/>
        <v>0.87602329141960078</v>
      </c>
      <c r="G16" s="2">
        <f t="shared" si="3"/>
        <v>6.3452083909995691</v>
      </c>
      <c r="H16" s="2">
        <f t="shared" si="4"/>
        <v>0.34206968099956914</v>
      </c>
      <c r="I16" s="2"/>
      <c r="J16" s="2">
        <f t="shared" si="0"/>
        <v>2.2071913458517932E-4</v>
      </c>
      <c r="K16" s="2"/>
    </row>
    <row r="17" spans="2:11" x14ac:dyDescent="0.25">
      <c r="B17" s="1">
        <v>11.10058999</v>
      </c>
      <c r="C17" s="1">
        <v>13.90731345</v>
      </c>
      <c r="D17" s="2"/>
      <c r="E17" s="6">
        <f t="shared" si="1"/>
        <v>1.1906183526022565</v>
      </c>
      <c r="F17" s="2">
        <f t="shared" si="2"/>
        <v>0.63251854106867145</v>
      </c>
      <c r="G17" s="2">
        <f t="shared" si="3"/>
        <v>13.753954385610836</v>
      </c>
      <c r="H17" s="2">
        <f t="shared" si="4"/>
        <v>0.15335906438916425</v>
      </c>
      <c r="I17" s="2"/>
      <c r="J17" s="2">
        <f t="shared" si="0"/>
        <v>9.8954341331442821E-5</v>
      </c>
      <c r="K17" s="2"/>
    </row>
    <row r="18" spans="2:11" x14ac:dyDescent="0.25">
      <c r="B18" s="1">
        <v>22.92882827</v>
      </c>
      <c r="C18" s="1">
        <v>32.21870706</v>
      </c>
      <c r="D18" s="2"/>
      <c r="E18" s="6">
        <f t="shared" si="1"/>
        <v>0.36065074510220285</v>
      </c>
      <c r="F18" s="2">
        <f t="shared" si="2"/>
        <v>0.27416820823787547</v>
      </c>
      <c r="G18" s="2">
        <f t="shared" si="3"/>
        <v>32.218707432410696</v>
      </c>
      <c r="H18" s="2">
        <f t="shared" si="4"/>
        <v>3.7241069605897792E-7</v>
      </c>
      <c r="I18" s="2"/>
      <c r="J18" s="2">
        <f t="shared" si="0"/>
        <v>2.4029655684247967E-10</v>
      </c>
      <c r="K18" s="2"/>
    </row>
    <row r="19" spans="2:11" x14ac:dyDescent="0.25">
      <c r="B19" s="1">
        <v>55.84916784</v>
      </c>
      <c r="C19" s="1">
        <v>93.383526459999999</v>
      </c>
      <c r="D19" s="2"/>
      <c r="E19" s="6">
        <f t="shared" si="1"/>
        <v>1.2986175407830773E-2</v>
      </c>
      <c r="F19" s="2">
        <f t="shared" si="2"/>
        <v>1.2820745687645985E-2</v>
      </c>
      <c r="G19" s="2">
        <f t="shared" si="3"/>
        <v>93.541937295721453</v>
      </c>
      <c r="H19" s="2">
        <f t="shared" si="4"/>
        <v>0.15841083572145465</v>
      </c>
      <c r="I19" s="2"/>
      <c r="J19" s="2">
        <f t="shared" si="0"/>
        <v>1.0221397718495408E-4</v>
      </c>
      <c r="K19" s="2"/>
    </row>
    <row r="20" spans="2:11" x14ac:dyDescent="0.25">
      <c r="B20" s="1">
        <v>115.3592718</v>
      </c>
      <c r="C20" s="1">
        <v>189.83591430000001</v>
      </c>
      <c r="D20" s="2"/>
      <c r="E20" s="6">
        <f t="shared" si="1"/>
        <v>3.1906209255525203E-5</v>
      </c>
      <c r="F20" s="2">
        <f t="shared" si="2"/>
        <v>3.1905191298054465E-5</v>
      </c>
      <c r="G20" s="2">
        <f t="shared" si="3"/>
        <v>189.18064873150604</v>
      </c>
      <c r="H20" s="2">
        <f t="shared" si="4"/>
        <v>0.65526556849397366</v>
      </c>
      <c r="I20" s="2"/>
      <c r="J20" s="2">
        <f t="shared" si="0"/>
        <v>4.2280756592876054E-4</v>
      </c>
      <c r="K20" s="2"/>
    </row>
    <row r="21" spans="2:11" x14ac:dyDescent="0.25">
      <c r="B21" s="1">
        <v>246.26807439999999</v>
      </c>
      <c r="C21" s="1">
        <v>326.22220099999998</v>
      </c>
      <c r="D21" s="2"/>
      <c r="E21" s="6">
        <f t="shared" si="1"/>
        <v>5.7987000141307495E-11</v>
      </c>
      <c r="F21" s="2">
        <f t="shared" si="2"/>
        <v>5.7987000137945006E-11</v>
      </c>
      <c r="G21" s="2">
        <f t="shared" si="3"/>
        <v>320.4902976056859</v>
      </c>
      <c r="H21" s="2">
        <f t="shared" si="4"/>
        <v>5.731903394314088</v>
      </c>
      <c r="I21" s="2"/>
      <c r="J21" s="2">
        <f t="shared" si="0"/>
        <v>3.6984884279190207E-3</v>
      </c>
      <c r="K21" s="2"/>
    </row>
    <row r="22" spans="2:11" x14ac:dyDescent="0.25">
      <c r="B22" s="1">
        <v>590.04217449999999</v>
      </c>
      <c r="C22" s="1">
        <v>415.83296890000003</v>
      </c>
      <c r="D22" s="2"/>
      <c r="E22" s="6">
        <f t="shared" si="1"/>
        <v>4.878968539576386E-26</v>
      </c>
      <c r="F22" s="2">
        <f t="shared" si="2"/>
        <v>4.878968539576386E-26</v>
      </c>
      <c r="G22" s="2">
        <f t="shared" si="3"/>
        <v>434.07808367459108</v>
      </c>
      <c r="H22" s="2">
        <f t="shared" si="4"/>
        <v>18.245114774591059</v>
      </c>
      <c r="I22" s="2"/>
      <c r="J22" s="2">
        <f t="shared" si="0"/>
        <v>1.1772589525290551E-2</v>
      </c>
      <c r="K22" s="2"/>
    </row>
    <row r="23" spans="2:11" x14ac:dyDescent="0.25">
      <c r="B23" s="1">
        <v>1198.8337200000001</v>
      </c>
      <c r="C23" s="1">
        <v>456.519633</v>
      </c>
      <c r="D23" s="2"/>
      <c r="E23" s="6">
        <f t="shared" si="1"/>
        <v>9.8156380301523585E-53</v>
      </c>
      <c r="F23" s="2">
        <f t="shared" si="2"/>
        <v>9.8156380301523585E-53</v>
      </c>
      <c r="G23" s="2">
        <f t="shared" si="3"/>
        <v>456.51985861173443</v>
      </c>
      <c r="H23" s="2">
        <f t="shared" si="4"/>
        <v>2.2561173443591542E-4</v>
      </c>
      <c r="I23" s="2"/>
      <c r="J23" s="2">
        <f t="shared" si="0"/>
        <v>1.4557509637055286E-7</v>
      </c>
      <c r="K23" s="2"/>
    </row>
    <row r="24" spans="2:11" x14ac:dyDescent="0.25">
      <c r="B24" s="23"/>
      <c r="C24" s="23"/>
      <c r="D24" s="2"/>
      <c r="E24" s="6"/>
      <c r="F24" s="2"/>
      <c r="G24" s="2"/>
      <c r="H24" s="2"/>
      <c r="I24" s="2"/>
      <c r="J24" s="2"/>
      <c r="K24" s="2"/>
    </row>
    <row r="25" spans="2:11" x14ac:dyDescent="0.25">
      <c r="B25" s="23"/>
      <c r="C25" s="23"/>
      <c r="D25" s="2"/>
      <c r="E25" s="6"/>
      <c r="F25" s="2"/>
      <c r="G25" s="2"/>
      <c r="H25" s="2"/>
      <c r="I25" s="2"/>
      <c r="J25" s="2"/>
      <c r="K25" s="2"/>
    </row>
    <row r="26" spans="2:11" x14ac:dyDescent="0.25">
      <c r="B26" s="1"/>
      <c r="C26" s="1"/>
      <c r="D26" s="2"/>
      <c r="E26" s="6"/>
      <c r="F26" s="2"/>
      <c r="G26" s="2"/>
      <c r="H26" s="2"/>
      <c r="I26" s="2"/>
      <c r="J26" s="2"/>
      <c r="K26" s="2"/>
    </row>
    <row r="27" spans="2:11" x14ac:dyDescent="0.25">
      <c r="B27" s="1"/>
      <c r="C27" s="1"/>
      <c r="D27" s="2"/>
      <c r="E27" s="6"/>
      <c r="F27" s="2"/>
      <c r="G27" s="2"/>
      <c r="H27" s="2"/>
      <c r="I27" s="2"/>
      <c r="J27" s="2"/>
      <c r="K27" s="2"/>
    </row>
    <row r="28" spans="2:11" x14ac:dyDescent="0.25">
      <c r="B28" s="1"/>
      <c r="C28" s="1"/>
      <c r="D28" s="2"/>
      <c r="E28" s="6"/>
      <c r="F28" s="2"/>
      <c r="G28" s="2"/>
      <c r="H28" s="2"/>
      <c r="I28" s="2"/>
      <c r="J28" s="2"/>
      <c r="K28" s="2"/>
    </row>
    <row r="29" spans="2:11" x14ac:dyDescent="0.25">
      <c r="B29" s="1"/>
      <c r="C29" s="1"/>
      <c r="D29" s="2"/>
      <c r="E29" s="6"/>
      <c r="F29" s="2"/>
      <c r="G29" s="2"/>
      <c r="H29" s="2"/>
      <c r="I29" s="2"/>
      <c r="J29" s="2"/>
      <c r="K29" s="2"/>
    </row>
    <row r="30" spans="2:11" x14ac:dyDescent="0.25">
      <c r="B30" s="1"/>
      <c r="C30" s="1"/>
      <c r="D30" s="2"/>
      <c r="E30" s="6"/>
      <c r="F30" s="2"/>
      <c r="G30" s="2"/>
      <c r="H30" s="2"/>
      <c r="I30" s="2"/>
      <c r="J30" s="2"/>
      <c r="K30" s="2"/>
    </row>
    <row r="31" spans="2:11" x14ac:dyDescent="0.25">
      <c r="B31" s="1"/>
      <c r="C31" s="1"/>
      <c r="E31" s="6"/>
      <c r="F31" s="2"/>
      <c r="G31" s="2"/>
      <c r="H31" s="2"/>
      <c r="I31" s="2"/>
      <c r="J31" s="2"/>
    </row>
    <row r="32" spans="2:11" x14ac:dyDescent="0.25">
      <c r="B32" s="15"/>
      <c r="C32" s="16"/>
      <c r="E32" s="6"/>
      <c r="F32" s="2"/>
      <c r="G32" s="2"/>
      <c r="H32" s="2"/>
      <c r="I32" s="2"/>
      <c r="J32" s="2"/>
    </row>
    <row r="33" spans="2:10" x14ac:dyDescent="0.25">
      <c r="B33" s="15"/>
      <c r="C33" s="16"/>
      <c r="E33" s="6"/>
      <c r="F33" s="2"/>
      <c r="G33" s="2"/>
      <c r="H33" s="2"/>
      <c r="I33" s="2"/>
      <c r="J33" s="2"/>
    </row>
    <row r="34" spans="2:10" x14ac:dyDescent="0.25">
      <c r="B34" s="15"/>
      <c r="C34" s="16"/>
      <c r="E34" s="6"/>
      <c r="F34" s="2"/>
      <c r="G34" s="2"/>
      <c r="H34" s="2"/>
      <c r="I34" s="2"/>
      <c r="J34" s="2"/>
    </row>
    <row r="35" spans="2:10" x14ac:dyDescent="0.25">
      <c r="B35" s="15"/>
      <c r="C35" s="16"/>
      <c r="E35" s="6"/>
      <c r="F35" s="2"/>
      <c r="G35" s="2"/>
      <c r="H35" s="2"/>
      <c r="I35" s="2"/>
      <c r="J35" s="2"/>
    </row>
    <row r="36" spans="2:10" x14ac:dyDescent="0.25">
      <c r="B36" s="15"/>
      <c r="C36" s="16"/>
      <c r="E36" s="6"/>
      <c r="F36" s="2"/>
      <c r="G36" s="2"/>
      <c r="H36" s="2"/>
      <c r="I36" s="2"/>
      <c r="J36" s="2"/>
    </row>
    <row r="37" spans="2:10" x14ac:dyDescent="0.25">
      <c r="B37" s="15"/>
      <c r="C37" s="16"/>
      <c r="E37" s="6"/>
      <c r="F37" s="2"/>
      <c r="G37" s="2"/>
      <c r="H37" s="2"/>
      <c r="I37" s="2"/>
      <c r="J37" s="2"/>
    </row>
    <row r="38" spans="2:10" x14ac:dyDescent="0.25">
      <c r="B38" s="15"/>
      <c r="C38" s="16"/>
      <c r="E38" s="6"/>
      <c r="F38" s="2"/>
      <c r="G38" s="2"/>
      <c r="H38" s="2"/>
      <c r="I38" s="2"/>
      <c r="J38" s="2"/>
    </row>
    <row r="39" spans="2:10" x14ac:dyDescent="0.25">
      <c r="B39" s="15"/>
      <c r="C39" s="16"/>
      <c r="E39" s="6"/>
      <c r="F39" s="2"/>
      <c r="G39" s="2"/>
      <c r="H39" s="2"/>
      <c r="I39" s="2"/>
      <c r="J39" s="2"/>
    </row>
    <row r="40" spans="2:10" x14ac:dyDescent="0.25">
      <c r="B40" s="15"/>
      <c r="C40" s="16"/>
      <c r="E40" s="6"/>
      <c r="F40" s="2"/>
      <c r="G40" s="2"/>
      <c r="H40" s="2"/>
      <c r="I40" s="2"/>
      <c r="J40" s="2"/>
    </row>
    <row r="41" spans="2:10" x14ac:dyDescent="0.25">
      <c r="B41" s="15"/>
      <c r="C41" s="16"/>
      <c r="E41" s="6"/>
      <c r="F41" s="2"/>
      <c r="G41" s="2"/>
      <c r="H41" s="2"/>
      <c r="I41" s="2"/>
      <c r="J41" s="2"/>
    </row>
    <row r="42" spans="2:10" x14ac:dyDescent="0.25">
      <c r="B42" s="15"/>
      <c r="C42" s="16"/>
      <c r="E42" s="6"/>
      <c r="F42" s="2"/>
      <c r="G42" s="2"/>
      <c r="H42" s="2"/>
      <c r="I42" s="2"/>
      <c r="J42" s="2"/>
    </row>
    <row r="43" spans="2:10" x14ac:dyDescent="0.25">
      <c r="B43" s="2"/>
      <c r="C43" s="2"/>
      <c r="E43" s="1"/>
      <c r="F43" s="1"/>
      <c r="G43" s="1"/>
      <c r="H43" s="1"/>
      <c r="I43" s="1"/>
      <c r="J43" s="1"/>
    </row>
    <row r="44" spans="2:10" x14ac:dyDescent="0.25">
      <c r="B44" s="2"/>
      <c r="C44" s="2"/>
      <c r="E44" s="1"/>
      <c r="F44" s="1"/>
      <c r="G44" s="1"/>
      <c r="H44" s="1"/>
      <c r="I44" s="1"/>
      <c r="J44" s="1"/>
    </row>
    <row r="45" spans="2:10" x14ac:dyDescent="0.25">
      <c r="B45" s="2"/>
      <c r="C45" s="2"/>
      <c r="E45" s="1"/>
      <c r="F45" s="1"/>
      <c r="G45" s="1"/>
      <c r="H45" s="1"/>
      <c r="I45" s="1"/>
      <c r="J45" s="1"/>
    </row>
    <row r="46" spans="2:10" x14ac:dyDescent="0.25">
      <c r="B46" s="2"/>
      <c r="C46" s="2"/>
      <c r="E46" s="1"/>
      <c r="F46" s="1"/>
      <c r="G46" s="1"/>
      <c r="H46" s="1"/>
      <c r="I46" s="1"/>
      <c r="J46" s="1"/>
    </row>
    <row r="47" spans="2:10" x14ac:dyDescent="0.25">
      <c r="B47" s="2"/>
      <c r="C47" s="2"/>
      <c r="E47" s="1"/>
      <c r="F47" s="1"/>
      <c r="G47" s="1"/>
      <c r="H47" s="1"/>
      <c r="I47" s="1"/>
      <c r="J47" s="1"/>
    </row>
    <row r="48" spans="2:10" x14ac:dyDescent="0.25">
      <c r="B48" s="2"/>
      <c r="C48" s="2"/>
      <c r="E48" s="1"/>
      <c r="F48" s="1"/>
      <c r="G48" s="1"/>
      <c r="H48" s="1"/>
      <c r="I48" s="1"/>
      <c r="J48" s="1"/>
    </row>
    <row r="49" spans="2:10" x14ac:dyDescent="0.25">
      <c r="B49" s="2"/>
      <c r="C49" s="2"/>
      <c r="E49" s="1"/>
      <c r="F49" s="1"/>
      <c r="G49" s="1"/>
      <c r="H49" s="1"/>
      <c r="I49" s="1"/>
      <c r="J49" s="1"/>
    </row>
    <row r="50" spans="2:10" x14ac:dyDescent="0.25">
      <c r="B50" s="2"/>
      <c r="C50" s="2"/>
      <c r="E50" s="1"/>
      <c r="F50" s="1"/>
      <c r="G50" s="1"/>
      <c r="H50" s="1"/>
      <c r="I50" s="1"/>
      <c r="J50" s="1"/>
    </row>
    <row r="51" spans="2:10" x14ac:dyDescent="0.25">
      <c r="B51" s="2"/>
      <c r="C51" s="2"/>
      <c r="E51" s="1"/>
      <c r="F51" s="1"/>
      <c r="G51" s="1"/>
      <c r="H51" s="1"/>
      <c r="I51" s="1"/>
      <c r="J51" s="1"/>
    </row>
    <row r="52" spans="2:10" x14ac:dyDescent="0.25">
      <c r="B52" s="2"/>
      <c r="C52" s="2"/>
      <c r="E52" s="1"/>
      <c r="F52" s="1"/>
      <c r="G52" s="1"/>
      <c r="H52" s="1"/>
      <c r="I52" s="1"/>
      <c r="J52" s="1"/>
    </row>
    <row r="53" spans="2:10" x14ac:dyDescent="0.25">
      <c r="B53" s="2"/>
      <c r="C53" s="2"/>
      <c r="E53" s="1"/>
      <c r="F53" s="1"/>
      <c r="G53" s="1"/>
      <c r="H53" s="1"/>
      <c r="I53" s="1"/>
      <c r="J53" s="1"/>
    </row>
    <row r="54" spans="2:10" x14ac:dyDescent="0.25">
      <c r="B54" s="2"/>
      <c r="C54" s="2"/>
      <c r="E54" s="1"/>
      <c r="F54" s="1"/>
      <c r="G54" s="1"/>
      <c r="H54" s="1"/>
      <c r="I54" s="1"/>
      <c r="J54" s="1"/>
    </row>
    <row r="55" spans="2:10" x14ac:dyDescent="0.25">
      <c r="B55" s="2"/>
      <c r="C55" s="2"/>
      <c r="E55" s="1"/>
      <c r="F55" s="1"/>
      <c r="G55" s="1"/>
      <c r="H55" s="1"/>
      <c r="I55" s="1"/>
      <c r="J55" s="1"/>
    </row>
    <row r="56" spans="2:10" x14ac:dyDescent="0.25">
      <c r="B56" s="2"/>
      <c r="C56" s="2"/>
      <c r="E56" s="1"/>
      <c r="F56" s="1"/>
      <c r="G56" s="1"/>
      <c r="H56" s="1"/>
      <c r="I56" s="1"/>
      <c r="J56" s="1"/>
    </row>
    <row r="57" spans="2:10" x14ac:dyDescent="0.25">
      <c r="B57" s="2"/>
      <c r="C57" s="2"/>
      <c r="E57" s="1"/>
      <c r="F57" s="1"/>
      <c r="G57" s="1"/>
      <c r="H57" s="1"/>
      <c r="I57" s="1"/>
      <c r="J57" s="1"/>
    </row>
    <row r="58" spans="2:10" x14ac:dyDescent="0.25">
      <c r="B58" s="2"/>
      <c r="C58" s="2"/>
      <c r="E58" s="1"/>
      <c r="F58" s="1"/>
      <c r="G58" s="1"/>
      <c r="H58" s="1"/>
      <c r="I58" s="1"/>
      <c r="J58" s="1"/>
    </row>
    <row r="59" spans="2:10" x14ac:dyDescent="0.25">
      <c r="B59" s="2"/>
      <c r="C59" s="2"/>
      <c r="E59" s="1"/>
      <c r="F59" s="1"/>
      <c r="G59" s="1"/>
      <c r="H59" s="1"/>
      <c r="I59" s="1"/>
      <c r="J59" s="1"/>
    </row>
    <row r="60" spans="2:10" x14ac:dyDescent="0.25">
      <c r="B60" s="2"/>
      <c r="C60" s="2"/>
      <c r="E60" s="1"/>
      <c r="F60" s="1"/>
      <c r="G60" s="1"/>
      <c r="H60" s="1"/>
      <c r="I60" s="1"/>
      <c r="J60" s="1"/>
    </row>
    <row r="61" spans="2:10" x14ac:dyDescent="0.25">
      <c r="B61" s="2"/>
      <c r="C61" s="2"/>
      <c r="E61" s="1"/>
      <c r="F61" s="1"/>
      <c r="G61" s="1"/>
      <c r="H61" s="1"/>
      <c r="I61" s="1"/>
      <c r="J61" s="1"/>
    </row>
    <row r="62" spans="2:10" x14ac:dyDescent="0.25">
      <c r="B62" s="2"/>
      <c r="C62" s="2"/>
      <c r="E62" s="1"/>
      <c r="F62" s="1"/>
      <c r="G62" s="1"/>
      <c r="H62" s="1"/>
      <c r="I62" s="1"/>
      <c r="J62" s="1"/>
    </row>
    <row r="63" spans="2:10" x14ac:dyDescent="0.25">
      <c r="B63" s="2"/>
      <c r="C63" s="2"/>
      <c r="E63" s="1"/>
      <c r="F63" s="1"/>
      <c r="G63" s="1"/>
      <c r="H63" s="1"/>
      <c r="I63" s="1"/>
      <c r="J63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B15:Q76"/>
  <sheetViews>
    <sheetView workbookViewId="0">
      <selection activeCell="C20" sqref="C20"/>
    </sheetView>
  </sheetViews>
  <sheetFormatPr defaultRowHeight="15" x14ac:dyDescent="0.25"/>
  <cols>
    <col min="3" max="3" width="13.28515625" customWidth="1"/>
    <col min="9" max="9" width="8.85546875" style="1"/>
  </cols>
  <sheetData>
    <row r="15" spans="2:17" x14ac:dyDescent="0.25">
      <c r="B15" s="2" t="s">
        <v>12</v>
      </c>
      <c r="C15" s="8" t="s">
        <v>2</v>
      </c>
      <c r="F15" s="12" t="s">
        <v>6</v>
      </c>
      <c r="G15" s="12" t="s">
        <v>7</v>
      </c>
      <c r="H15" s="13" t="s">
        <v>15</v>
      </c>
      <c r="J15" s="14" t="s">
        <v>1</v>
      </c>
      <c r="K15" s="14" t="s">
        <v>0</v>
      </c>
      <c r="L15" s="14" t="s">
        <v>16</v>
      </c>
      <c r="N15" s="14" t="s">
        <v>17</v>
      </c>
      <c r="O15" s="14" t="s">
        <v>9</v>
      </c>
      <c r="P15" s="14" t="s">
        <v>18</v>
      </c>
      <c r="Q15" s="14" t="s">
        <v>19</v>
      </c>
    </row>
    <row r="16" spans="2:17" x14ac:dyDescent="0.25">
      <c r="B16" s="2"/>
      <c r="C16" s="7">
        <v>1.4249442710726001</v>
      </c>
      <c r="F16" s="1">
        <v>1.0859242280000001</v>
      </c>
      <c r="G16" s="1">
        <v>1.038045084</v>
      </c>
      <c r="H16" s="3">
        <f>G16/F16/($G$16/$F$16)</f>
        <v>1</v>
      </c>
      <c r="J16" s="3">
        <f>$C$24*EXP(-F16/($C$20*$B$20))</f>
        <v>5.048672056926784</v>
      </c>
      <c r="K16" cm="1">
        <f t="array" ref="K16">lmb_1_0(J16)</f>
        <v>1.3322534316564456</v>
      </c>
      <c r="L16" s="3">
        <f>1/($C$26*F16)*(1-(K16/$C$16)^($C$18))</f>
        <v>1.0185290592002414</v>
      </c>
      <c r="N16">
        <f>ABS(L16-H16)</f>
        <v>1.8529059200241393E-2</v>
      </c>
      <c r="O16" s="3">
        <f>SUM(L16:L74)</f>
        <v>11.874043085235439</v>
      </c>
      <c r="P16">
        <f>N16/$O$16</f>
        <v>1.5604675734485934E-3</v>
      </c>
      <c r="Q16">
        <f>SUM(P16:P74)*100</f>
        <v>2.5625625939679821</v>
      </c>
    </row>
    <row r="17" spans="2:16" x14ac:dyDescent="0.25">
      <c r="B17" s="2"/>
      <c r="C17" s="9" t="s">
        <v>3</v>
      </c>
      <c r="F17" s="1">
        <v>2.2063551339999998</v>
      </c>
      <c r="G17" s="1">
        <v>2.2738235320000002</v>
      </c>
      <c r="H17" s="3">
        <f t="shared" ref="H17:H26" si="0">G17/F17/($G$16/$F$16)</f>
        <v>1.0781139011487166</v>
      </c>
      <c r="J17" s="3">
        <f t="shared" ref="J17:J26" si="1">$C$24*EXP(-F17/($C$20*$B$20))</f>
        <v>4.2805899795682336</v>
      </c>
      <c r="K17" s="1" cm="1">
        <f t="array" ref="K17">lmb_1_0(J17)</f>
        <v>1.2394351190874651</v>
      </c>
      <c r="L17" s="3">
        <f t="shared" ref="L17:L26" si="2">1/($C$26*F17)*(1-(K17/$C$16)^($C$18))</f>
        <v>1.0382422692477937</v>
      </c>
      <c r="N17" s="1">
        <f t="shared" ref="N17:N26" si="3">ABS(L17-H17)</f>
        <v>3.987163190092291E-2</v>
      </c>
      <c r="P17" s="1">
        <f t="shared" ref="P17:P26" si="4">N17/$O$16</f>
        <v>3.3578816932625551E-3</v>
      </c>
    </row>
    <row r="18" spans="2:16" x14ac:dyDescent="0.25">
      <c r="B18" s="2"/>
      <c r="C18" s="7">
        <v>3.4376933289447874E-2</v>
      </c>
      <c r="F18" s="1">
        <v>5.4634901830000002</v>
      </c>
      <c r="G18" s="1">
        <v>6.00313871</v>
      </c>
      <c r="H18" s="3">
        <f t="shared" si="0"/>
        <v>1.149453793879593</v>
      </c>
      <c r="J18" s="3">
        <f t="shared" si="1"/>
        <v>2.6493904311577037</v>
      </c>
      <c r="K18" s="1" cm="1">
        <f t="array" ref="K18">lmb_1_0(J18)</f>
        <v>0.98720606737023364</v>
      </c>
      <c r="L18" s="3">
        <f t="shared" si="2"/>
        <v>1.0989611228533096</v>
      </c>
      <c r="N18" s="1">
        <f t="shared" si="3"/>
        <v>5.0492671026283409E-2</v>
      </c>
      <c r="P18" s="1">
        <f t="shared" si="4"/>
        <v>4.252357066909046E-3</v>
      </c>
    </row>
    <row r="19" spans="2:16" x14ac:dyDescent="0.25">
      <c r="B19" s="2"/>
      <c r="C19" s="10" t="s">
        <v>4</v>
      </c>
      <c r="F19" s="1">
        <v>11.10058999</v>
      </c>
      <c r="G19" s="1">
        <v>13.90731345</v>
      </c>
      <c r="H19" s="3">
        <f t="shared" si="0"/>
        <v>1.3106311567168094</v>
      </c>
      <c r="J19" s="3">
        <f t="shared" si="1"/>
        <v>1.1548959887208492</v>
      </c>
      <c r="K19" s="1" cm="1">
        <f t="array" ref="K19">lmb_1_0(J19)</f>
        <v>0.62078337587949795</v>
      </c>
      <c r="L19" s="3">
        <f t="shared" si="2"/>
        <v>1.2148712390142282</v>
      </c>
      <c r="N19" s="1">
        <f t="shared" si="3"/>
        <v>9.5759917702581188E-2</v>
      </c>
      <c r="P19" s="1">
        <f t="shared" si="4"/>
        <v>8.0646429371350435E-3</v>
      </c>
    </row>
    <row r="20" spans="2:16" x14ac:dyDescent="0.25">
      <c r="B20" s="2">
        <v>1</v>
      </c>
      <c r="C20" s="7">
        <v>6.7890747598787629</v>
      </c>
      <c r="D20">
        <f>C20*B20</f>
        <v>6.7890747598787629</v>
      </c>
      <c r="F20" s="1">
        <v>22.92882827</v>
      </c>
      <c r="G20" s="1">
        <v>32.21870706</v>
      </c>
      <c r="H20" s="3">
        <f t="shared" si="0"/>
        <v>1.4699736615323784</v>
      </c>
      <c r="J20" s="3">
        <f t="shared" si="1"/>
        <v>0.20225303768601208</v>
      </c>
      <c r="K20" s="1" cm="1">
        <f t="array" ref="K20">lmb_1_0(J20)</f>
        <v>0.17054141351883603</v>
      </c>
      <c r="L20" s="3">
        <f t="shared" si="2"/>
        <v>1.4699792138447809</v>
      </c>
      <c r="N20" s="1">
        <f t="shared" si="3"/>
        <v>5.552312402512527E-6</v>
      </c>
      <c r="P20" s="1">
        <f t="shared" si="4"/>
        <v>4.6760083003374381E-7</v>
      </c>
    </row>
    <row r="21" spans="2:16" x14ac:dyDescent="0.25">
      <c r="F21" s="1">
        <v>55.84916784</v>
      </c>
      <c r="G21" s="1">
        <v>93.383526459999999</v>
      </c>
      <c r="H21" s="3">
        <f t="shared" si="0"/>
        <v>1.749189535458229</v>
      </c>
      <c r="J21" s="3">
        <f t="shared" si="1"/>
        <v>1.584870150930271E-3</v>
      </c>
      <c r="K21" s="1" cm="1">
        <f t="array" ref="K21">lmb_1_0(J21)</f>
        <v>1.5823642921094319E-3</v>
      </c>
      <c r="L21" s="3">
        <f t="shared" si="2"/>
        <v>1.7881343263516161</v>
      </c>
      <c r="N21" s="1">
        <f t="shared" si="3"/>
        <v>3.8944790893387093E-2</v>
      </c>
      <c r="P21" s="1">
        <f t="shared" si="4"/>
        <v>3.27982563427046E-3</v>
      </c>
    </row>
    <row r="22" spans="2:16" x14ac:dyDescent="0.25">
      <c r="F22" s="1">
        <v>115.3592718</v>
      </c>
      <c r="G22" s="1">
        <v>189.83591430000001</v>
      </c>
      <c r="H22" s="3">
        <f t="shared" si="0"/>
        <v>1.7215085305705637</v>
      </c>
      <c r="J22" s="3">
        <f t="shared" si="1"/>
        <v>2.4726087026934868E-7</v>
      </c>
      <c r="K22" s="1" cm="1">
        <f t="array" ref="K22">lmb_1_0(J22)</f>
        <v>2.4726080913143339E-7</v>
      </c>
      <c r="L22" s="3">
        <f t="shared" si="2"/>
        <v>1.720395619896057</v>
      </c>
      <c r="N22" s="1">
        <f t="shared" si="3"/>
        <v>1.1129106745066952E-3</v>
      </c>
      <c r="P22" s="1">
        <f t="shared" si="4"/>
        <v>9.372634632684832E-5</v>
      </c>
    </row>
    <row r="23" spans="2:16" ht="18" x14ac:dyDescent="0.35">
      <c r="C23" s="2" t="s">
        <v>13</v>
      </c>
      <c r="F23" s="1">
        <v>246.26807439999999</v>
      </c>
      <c r="G23" s="1">
        <v>326.22220099999998</v>
      </c>
      <c r="H23" s="3">
        <f t="shared" si="0"/>
        <v>1.3857621838455767</v>
      </c>
      <c r="J23" s="3">
        <f t="shared" si="1"/>
        <v>1.0446480860410843E-15</v>
      </c>
      <c r="K23" s="1" cm="1">
        <f t="array" ref="K23">lmb_1_0(J23)</f>
        <v>1.0446480860410831E-15</v>
      </c>
      <c r="L23" s="3">
        <f t="shared" si="2"/>
        <v>1.3577521455985242</v>
      </c>
      <c r="N23" s="1">
        <f t="shared" si="3"/>
        <v>2.8010038247052504E-2</v>
      </c>
      <c r="P23" s="1">
        <f t="shared" si="4"/>
        <v>2.3589301509172622E-3</v>
      </c>
    </row>
    <row r="24" spans="2:16" x14ac:dyDescent="0.25">
      <c r="C24" s="2">
        <f>C16*EXP(C16)</f>
        <v>5.9243855441176834</v>
      </c>
      <c r="F24" s="1">
        <v>590.04217449999999</v>
      </c>
      <c r="G24" s="1">
        <v>415.83296890000003</v>
      </c>
      <c r="H24" s="3">
        <f t="shared" si="0"/>
        <v>0.73725745172919743</v>
      </c>
      <c r="J24" s="3">
        <f t="shared" si="1"/>
        <v>1.0662867873529749E-37</v>
      </c>
      <c r="K24" s="1" cm="1">
        <f t="array" ref="K24">lmb_1_0(J24)</f>
        <v>1.0662867873529749E-37</v>
      </c>
      <c r="L24" s="3">
        <f t="shared" si="2"/>
        <v>0.76867539263898021</v>
      </c>
      <c r="N24" s="1">
        <f t="shared" si="3"/>
        <v>3.1417940909782782E-2</v>
      </c>
      <c r="P24" s="1">
        <f t="shared" si="4"/>
        <v>2.6459345552526121E-3</v>
      </c>
    </row>
    <row r="25" spans="2:16" x14ac:dyDescent="0.25">
      <c r="C25" s="2" t="s">
        <v>14</v>
      </c>
      <c r="F25" s="1">
        <v>1198.8337200000001</v>
      </c>
      <c r="G25" s="1">
        <v>456.519633</v>
      </c>
      <c r="H25" s="3">
        <f t="shared" si="0"/>
        <v>0.39836742296317984</v>
      </c>
      <c r="J25" s="3">
        <f t="shared" si="1"/>
        <v>1.21259212580824E-76</v>
      </c>
      <c r="K25" s="1" cm="1">
        <f t="array" ref="K25">lmb_1_0(J25)</f>
        <v>1.21259212580824E-76</v>
      </c>
      <c r="L25" s="3">
        <f t="shared" si="2"/>
        <v>0.39850269658990439</v>
      </c>
      <c r="N25" s="1">
        <f t="shared" si="3"/>
        <v>1.3527362672455245E-4</v>
      </c>
      <c r="P25" s="1">
        <f t="shared" si="4"/>
        <v>1.1392381327364052E-5</v>
      </c>
    </row>
    <row r="26" spans="2:16" x14ac:dyDescent="0.25">
      <c r="C26" s="2" cm="1">
        <f t="array" ref="C26">(1/C16)^(C18)*(C18/(C20*B20))*(lmb_1_0(C24)^C18)/(1+lmb_1_0(C24))</f>
        <v>2.0881167542768412E-3</v>
      </c>
      <c r="F26" s="23"/>
      <c r="G26" s="23"/>
      <c r="H26" s="3"/>
      <c r="J26" s="3"/>
      <c r="K26" s="1"/>
      <c r="L26" s="3"/>
      <c r="N26" s="1"/>
      <c r="P26" s="1"/>
    </row>
    <row r="27" spans="2:16" x14ac:dyDescent="0.25">
      <c r="F27" s="23"/>
      <c r="G27" s="23"/>
      <c r="H27" s="3"/>
      <c r="J27" s="3"/>
      <c r="K27" s="1"/>
      <c r="L27" s="3"/>
      <c r="M27" s="1"/>
      <c r="N27" s="1"/>
      <c r="O27" s="1"/>
      <c r="P27" s="1"/>
    </row>
    <row r="28" spans="2:16" x14ac:dyDescent="0.25">
      <c r="F28" s="1"/>
      <c r="G28" s="1"/>
      <c r="H28" s="3"/>
      <c r="J28" s="3"/>
      <c r="K28" s="1"/>
      <c r="L28" s="3"/>
      <c r="M28" s="1"/>
      <c r="N28" s="1"/>
      <c r="O28" s="1"/>
      <c r="P28" s="1"/>
    </row>
    <row r="29" spans="2:16" x14ac:dyDescent="0.25">
      <c r="F29" s="1"/>
      <c r="G29" s="1"/>
      <c r="H29" s="3"/>
      <c r="J29" s="3"/>
      <c r="K29" s="1"/>
      <c r="L29" s="3"/>
      <c r="M29" s="1"/>
      <c r="N29" s="1"/>
      <c r="O29" s="1"/>
      <c r="P29" s="1"/>
    </row>
    <row r="30" spans="2:16" x14ac:dyDescent="0.25">
      <c r="F30" s="1"/>
      <c r="G30" s="1"/>
      <c r="H30" s="3"/>
      <c r="J30" s="3"/>
      <c r="K30" s="1"/>
      <c r="L30" s="3"/>
      <c r="M30" s="1"/>
      <c r="N30" s="1"/>
      <c r="O30" s="1"/>
      <c r="P30" s="1"/>
    </row>
    <row r="31" spans="2:16" x14ac:dyDescent="0.25">
      <c r="F31" s="1"/>
      <c r="G31" s="1"/>
      <c r="H31" s="3"/>
      <c r="J31" s="3"/>
      <c r="K31" s="1"/>
      <c r="L31" s="3"/>
      <c r="M31" s="1"/>
      <c r="N31" s="1"/>
      <c r="O31" s="1"/>
      <c r="P31" s="1"/>
    </row>
    <row r="32" spans="2:16" x14ac:dyDescent="0.25">
      <c r="F32" s="1"/>
      <c r="G32" s="1"/>
      <c r="H32" s="3"/>
      <c r="J32" s="3"/>
      <c r="K32" s="1"/>
      <c r="L32" s="3"/>
      <c r="M32" s="1"/>
      <c r="N32" s="1"/>
      <c r="O32" s="1"/>
      <c r="P32" s="1"/>
    </row>
    <row r="33" spans="6:16" x14ac:dyDescent="0.25">
      <c r="F33" s="3"/>
      <c r="G33" s="3"/>
      <c r="H33" s="3"/>
      <c r="J33" s="3"/>
      <c r="K33" s="1"/>
      <c r="L33" s="3"/>
      <c r="M33" s="1"/>
      <c r="N33" s="1"/>
      <c r="O33" s="1"/>
      <c r="P33" s="1"/>
    </row>
    <row r="34" spans="6:16" x14ac:dyDescent="0.25">
      <c r="F34" s="3"/>
      <c r="G34" s="3"/>
    </row>
    <row r="35" spans="6:16" x14ac:dyDescent="0.25">
      <c r="F35" s="3"/>
      <c r="G35" s="3"/>
    </row>
    <row r="36" spans="6:16" x14ac:dyDescent="0.25">
      <c r="F36" s="3"/>
      <c r="G36" s="3"/>
    </row>
    <row r="37" spans="6:16" x14ac:dyDescent="0.25">
      <c r="F37" s="3"/>
      <c r="G37" s="3"/>
    </row>
    <row r="38" spans="6:16" x14ac:dyDescent="0.25">
      <c r="F38" s="3"/>
      <c r="G38" s="3"/>
    </row>
    <row r="39" spans="6:16" x14ac:dyDescent="0.25">
      <c r="F39" s="3"/>
      <c r="G39" s="3"/>
    </row>
    <row r="40" spans="6:16" x14ac:dyDescent="0.25">
      <c r="F40" s="3"/>
      <c r="G40" s="3"/>
    </row>
    <row r="41" spans="6:16" x14ac:dyDescent="0.25">
      <c r="F41" s="3"/>
      <c r="G41" s="3"/>
    </row>
    <row r="42" spans="6:16" x14ac:dyDescent="0.25">
      <c r="F42" s="3"/>
      <c r="G42" s="3"/>
    </row>
    <row r="43" spans="6:16" x14ac:dyDescent="0.25">
      <c r="F43" s="3"/>
      <c r="G43" s="3"/>
    </row>
    <row r="44" spans="6:16" x14ac:dyDescent="0.25">
      <c r="F44" s="3"/>
      <c r="G44" s="3"/>
    </row>
    <row r="45" spans="6:16" x14ac:dyDescent="0.25">
      <c r="F45" s="3"/>
      <c r="G45" s="3"/>
    </row>
    <row r="46" spans="6:16" x14ac:dyDescent="0.25">
      <c r="F46" s="3"/>
      <c r="G46" s="3"/>
    </row>
    <row r="47" spans="6:16" x14ac:dyDescent="0.25">
      <c r="F47" s="3"/>
      <c r="G47" s="3"/>
    </row>
    <row r="48" spans="6:16" x14ac:dyDescent="0.25">
      <c r="F48" s="3"/>
      <c r="G48" s="3"/>
    </row>
    <row r="49" spans="6:7" x14ac:dyDescent="0.25">
      <c r="F49" s="3"/>
      <c r="G49" s="3"/>
    </row>
    <row r="50" spans="6:7" x14ac:dyDescent="0.25">
      <c r="F50" s="3"/>
      <c r="G50" s="3"/>
    </row>
    <row r="51" spans="6:7" x14ac:dyDescent="0.25">
      <c r="F51" s="3"/>
      <c r="G51" s="3"/>
    </row>
    <row r="52" spans="6:7" x14ac:dyDescent="0.25">
      <c r="F52" s="3"/>
      <c r="G52" s="3"/>
    </row>
    <row r="53" spans="6:7" x14ac:dyDescent="0.25">
      <c r="F53" s="3"/>
      <c r="G53" s="3"/>
    </row>
    <row r="54" spans="6:7" x14ac:dyDescent="0.25">
      <c r="F54" s="3"/>
      <c r="G54" s="3"/>
    </row>
    <row r="55" spans="6:7" x14ac:dyDescent="0.25">
      <c r="F55" s="3"/>
      <c r="G55" s="3"/>
    </row>
    <row r="56" spans="6:7" x14ac:dyDescent="0.25">
      <c r="F56" s="3"/>
      <c r="G56" s="3"/>
    </row>
    <row r="57" spans="6:7" x14ac:dyDescent="0.25">
      <c r="F57" s="3"/>
      <c r="G57" s="3"/>
    </row>
    <row r="58" spans="6:7" x14ac:dyDescent="0.25">
      <c r="F58" s="3"/>
      <c r="G58" s="3"/>
    </row>
    <row r="59" spans="6:7" x14ac:dyDescent="0.25">
      <c r="F59" s="3"/>
      <c r="G59" s="3"/>
    </row>
    <row r="60" spans="6:7" x14ac:dyDescent="0.25">
      <c r="F60" s="3"/>
      <c r="G60" s="3"/>
    </row>
    <row r="61" spans="6:7" x14ac:dyDescent="0.25">
      <c r="F61" s="3"/>
      <c r="G61" s="3"/>
    </row>
    <row r="62" spans="6:7" x14ac:dyDescent="0.25">
      <c r="F62" s="3"/>
      <c r="G62" s="3"/>
    </row>
    <row r="63" spans="6:7" x14ac:dyDescent="0.25">
      <c r="F63" s="3"/>
      <c r="G63" s="3"/>
    </row>
    <row r="64" spans="6:7" x14ac:dyDescent="0.25">
      <c r="F64" s="3"/>
      <c r="G64" s="3"/>
    </row>
    <row r="65" spans="6:7" x14ac:dyDescent="0.25">
      <c r="F65" s="3"/>
      <c r="G65" s="3"/>
    </row>
    <row r="66" spans="6:7" x14ac:dyDescent="0.25">
      <c r="F66" s="3"/>
      <c r="G66" s="3"/>
    </row>
    <row r="67" spans="6:7" x14ac:dyDescent="0.25">
      <c r="F67" s="3"/>
      <c r="G67" s="3"/>
    </row>
    <row r="68" spans="6:7" x14ac:dyDescent="0.25">
      <c r="F68" s="3"/>
      <c r="G68" s="3"/>
    </row>
    <row r="69" spans="6:7" x14ac:dyDescent="0.25">
      <c r="F69" s="3"/>
      <c r="G69" s="3"/>
    </row>
    <row r="70" spans="6:7" x14ac:dyDescent="0.25">
      <c r="F70" s="3"/>
      <c r="G70" s="3"/>
    </row>
    <row r="71" spans="6:7" x14ac:dyDescent="0.25">
      <c r="F71" s="3"/>
      <c r="G71" s="3"/>
    </row>
    <row r="72" spans="6:7" x14ac:dyDescent="0.25">
      <c r="F72" s="3"/>
      <c r="G72" s="3"/>
    </row>
    <row r="73" spans="6:7" x14ac:dyDescent="0.25">
      <c r="F73" s="3"/>
      <c r="G73" s="3"/>
    </row>
    <row r="74" spans="6:7" x14ac:dyDescent="0.25">
      <c r="F74" s="3"/>
      <c r="G74" s="3"/>
    </row>
    <row r="75" spans="6:7" x14ac:dyDescent="0.25">
      <c r="F75" s="3"/>
      <c r="G75" s="3"/>
    </row>
    <row r="76" spans="6:7" x14ac:dyDescent="0.25">
      <c r="F76" s="3"/>
      <c r="G76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7A4CA-9976-41FA-8125-1BE7A44523DD}">
  <sheetPr codeName="F____3"/>
  <dimension ref="A2:W63"/>
  <sheetViews>
    <sheetView zoomScaleNormal="100" workbookViewId="0">
      <selection activeCell="D14" sqref="D14:E23"/>
    </sheetView>
  </sheetViews>
  <sheetFormatPr defaultRowHeight="15" x14ac:dyDescent="0.25"/>
  <cols>
    <col min="1" max="1" width="12.7109375" style="1" bestFit="1" customWidth="1"/>
    <col min="2" max="2" width="10.140625" style="1" customWidth="1"/>
    <col min="3" max="3" width="9.5703125" style="1" customWidth="1"/>
    <col min="4" max="4" width="15.140625" style="1" customWidth="1"/>
    <col min="5" max="5" width="18.7109375" style="1" customWidth="1"/>
    <col min="6" max="6" width="10.85546875" style="1" customWidth="1"/>
    <col min="7" max="7" width="16.7109375" style="1" customWidth="1"/>
    <col min="8" max="8" width="16.28515625" style="1" customWidth="1"/>
    <col min="9" max="10" width="12" style="1" bestFit="1" customWidth="1"/>
    <col min="11" max="11" width="14.42578125" style="1" bestFit="1" customWidth="1"/>
    <col min="12" max="13" width="9.140625" style="1"/>
    <col min="14" max="14" width="11" style="1" bestFit="1" customWidth="1"/>
    <col min="15" max="15" width="10.7109375" style="1" customWidth="1"/>
    <col min="16" max="16384" width="9.140625" style="1"/>
  </cols>
  <sheetData>
    <row r="2" spans="1:23" x14ac:dyDescent="0.25">
      <c r="C2" s="1" t="s">
        <v>12</v>
      </c>
      <c r="D2" s="8" t="s">
        <v>2</v>
      </c>
    </row>
    <row r="3" spans="1:23" x14ac:dyDescent="0.25">
      <c r="D3" s="7">
        <v>1.4277961986453833</v>
      </c>
    </row>
    <row r="4" spans="1:23" x14ac:dyDescent="0.25">
      <c r="D4" s="9" t="s">
        <v>3</v>
      </c>
      <c r="Q4" s="2"/>
    </row>
    <row r="5" spans="1:23" x14ac:dyDescent="0.25">
      <c r="A5" s="1" t="s">
        <v>20</v>
      </c>
      <c r="D5" s="7">
        <v>3.4444633194744036E-2</v>
      </c>
      <c r="Q5" s="2"/>
    </row>
    <row r="6" spans="1:23" x14ac:dyDescent="0.25">
      <c r="A6" s="1">
        <f>N14+W14</f>
        <v>4.3424721799080963</v>
      </c>
      <c r="D6" s="10" t="s">
        <v>4</v>
      </c>
      <c r="Q6" s="2"/>
    </row>
    <row r="7" spans="1:23" x14ac:dyDescent="0.25">
      <c r="B7" s="1">
        <f>C7*D7</f>
        <v>6.7919325946270739</v>
      </c>
      <c r="C7" s="2">
        <v>1</v>
      </c>
      <c r="D7" s="7">
        <v>6.7919325946270739</v>
      </c>
      <c r="N7" s="3"/>
      <c r="Q7" s="2"/>
    </row>
    <row r="8" spans="1:23" x14ac:dyDescent="0.25">
      <c r="D8" s="11" t="s">
        <v>5</v>
      </c>
    </row>
    <row r="9" spans="1:23" x14ac:dyDescent="0.25">
      <c r="B9" s="3">
        <f>C9*D9</f>
        <v>457.61927069632873</v>
      </c>
      <c r="C9" s="1">
        <v>1000</v>
      </c>
      <c r="D9" s="6">
        <v>0.45761927069632874</v>
      </c>
      <c r="E9" s="3"/>
      <c r="F9" s="3"/>
      <c r="G9" s="3"/>
      <c r="O9" s="3"/>
    </row>
    <row r="10" spans="1:23" x14ac:dyDescent="0.25">
      <c r="O10" s="3"/>
      <c r="P10" s="3"/>
    </row>
    <row r="12" spans="1:23" ht="18" x14ac:dyDescent="0.35">
      <c r="A12" s="2"/>
      <c r="B12" s="2" t="s">
        <v>13</v>
      </c>
    </row>
    <row r="13" spans="1:23" x14ac:dyDescent="0.25">
      <c r="A13" s="2"/>
      <c r="B13" s="2">
        <f>D3*EXP(D3)</f>
        <v>5.9531966913866432</v>
      </c>
      <c r="D13" s="4" t="s">
        <v>6</v>
      </c>
      <c r="E13" s="4" t="s">
        <v>7</v>
      </c>
      <c r="F13" s="12" t="s">
        <v>15</v>
      </c>
      <c r="G13" s="2"/>
      <c r="H13" s="5" t="s">
        <v>1</v>
      </c>
      <c r="I13" s="5" t="s">
        <v>0</v>
      </c>
      <c r="J13" s="5" t="s">
        <v>5</v>
      </c>
      <c r="K13" s="5" t="s">
        <v>8</v>
      </c>
      <c r="L13" s="5" t="s">
        <v>9</v>
      </c>
      <c r="M13" s="5" t="s">
        <v>10</v>
      </c>
      <c r="N13" s="5" t="s">
        <v>11</v>
      </c>
      <c r="P13" s="14" t="s">
        <v>1</v>
      </c>
      <c r="Q13" s="14" t="s">
        <v>0</v>
      </c>
      <c r="R13" s="14" t="s">
        <v>16</v>
      </c>
      <c r="T13" s="14" t="s">
        <v>17</v>
      </c>
      <c r="U13" s="14" t="s">
        <v>9</v>
      </c>
      <c r="V13" s="14" t="s">
        <v>18</v>
      </c>
      <c r="W13" s="14" t="s">
        <v>19</v>
      </c>
    </row>
    <row r="14" spans="1:23" x14ac:dyDescent="0.25">
      <c r="A14" s="2"/>
      <c r="B14" s="2" t="s">
        <v>14</v>
      </c>
      <c r="D14" s="1">
        <v>1.0859242280000001</v>
      </c>
      <c r="E14" s="1">
        <v>1.038045084</v>
      </c>
      <c r="F14" s="3">
        <f>E14/D14/($E$14/$D$14)</f>
        <v>1</v>
      </c>
      <c r="G14" s="2"/>
      <c r="H14" s="6">
        <f t="shared" ref="H14:H31" si="0">$D$3*EXP($D$3)*EXP(-D14/($D$7*C$7))</f>
        <v>5.0735659356769709</v>
      </c>
      <c r="I14" s="2">
        <f>lmb_1_0(H14)</f>
        <v>1.3350643887687823</v>
      </c>
      <c r="J14" s="2">
        <f t="shared" ref="J14:J31" si="1">$D$9*C$9*(1-(I14/$D$3)^$D$5)</f>
        <v>1.057271717749118</v>
      </c>
      <c r="K14" s="2">
        <f>ABS(J14-E14)</f>
        <v>1.9226633749118038E-2</v>
      </c>
      <c r="L14" s="2">
        <f>SUM(J14:J50)</f>
        <v>1549.2197972361919</v>
      </c>
      <c r="M14" s="2">
        <f t="shared" ref="M14:M31" si="2">K14/$L$14</f>
        <v>1.2410526758964967E-5</v>
      </c>
      <c r="N14" s="2">
        <f>SUM(M14:M50)*100</f>
        <v>1.7854601286464884</v>
      </c>
      <c r="P14" s="3">
        <f>$B$13*EXP(-D14/($D$7*$C$7))</f>
        <v>5.0735659356769709</v>
      </c>
      <c r="Q14" s="1" cm="1">
        <f t="array" ref="Q14">lmb_1_0(P14)</f>
        <v>1.3350643887687823</v>
      </c>
      <c r="R14" s="3">
        <f>1/($B$15*D14)*(1-(Q14/$D$3)^($D$5))</f>
        <v>1.0185135649947317</v>
      </c>
      <c r="S14" s="3"/>
      <c r="T14" s="20">
        <f>ABS(R14-F14)</f>
        <v>1.8513564994731668E-2</v>
      </c>
      <c r="U14" s="3">
        <f>SUM(R14:R72)</f>
        <v>11.87613281763201</v>
      </c>
      <c r="V14" s="3">
        <f>T14/$U$14</f>
        <v>1.5588883417710969E-3</v>
      </c>
      <c r="W14" s="1">
        <f>SUM(V14:V72)*100</f>
        <v>2.5570120512616077</v>
      </c>
    </row>
    <row r="15" spans="1:23" x14ac:dyDescent="0.25">
      <c r="A15" s="2"/>
      <c r="B15" s="19" cm="1">
        <f t="array" ref="B15">(1/D3)^(D5)*(D5/(D7*C7))*(lmb_1_0(B13)^D5)/(1+lmb_1_0(B13))</f>
        <v>2.0888919199252092E-3</v>
      </c>
      <c r="D15" s="1">
        <v>2.2063551339999998</v>
      </c>
      <c r="E15" s="1">
        <v>2.2738235320000002</v>
      </c>
      <c r="F15" s="3">
        <f t="shared" ref="F15:F31" si="3">E15/D15/($E$14/$D$14)</f>
        <v>1.0781139011487166</v>
      </c>
      <c r="G15" s="2"/>
      <c r="H15" s="6">
        <f t="shared" si="0"/>
        <v>4.3019953425142488</v>
      </c>
      <c r="I15" s="2">
        <f t="shared" ref="I15:I31" si="4">lmb_1_0(H15)</f>
        <v>1.2421972006299766</v>
      </c>
      <c r="J15" s="2">
        <f t="shared" si="1"/>
        <v>2.1896826047952862</v>
      </c>
      <c r="K15" s="2">
        <f t="shared" ref="K15:K31" si="5">ABS(J15-E15)</f>
        <v>8.4140927204714E-2</v>
      </c>
      <c r="L15" s="2"/>
      <c r="M15" s="2">
        <f t="shared" si="2"/>
        <v>5.4311807372214978E-5</v>
      </c>
      <c r="N15" s="2"/>
      <c r="P15" s="3">
        <f t="shared" ref="P15:P31" si="6">$B$13*EXP(-D15/($D$7*$C$7))</f>
        <v>4.3019953425142488</v>
      </c>
      <c r="Q15" s="1" cm="1">
        <f t="array" ref="Q15">lmb_1_0(P15)</f>
        <v>1.2421972006299766</v>
      </c>
      <c r="R15" s="3">
        <f t="shared" ref="R15:R31" si="7">1/($B$15*D15)*(1-(Q15/$D$3)^($D$5))</f>
        <v>1.0382106415725627</v>
      </c>
      <c r="T15" s="20">
        <f>ABS(R15-F15)</f>
        <v>3.9903259576153927E-2</v>
      </c>
      <c r="V15" s="3">
        <f t="shared" ref="V15:V31" si="8">T15/$U$14</f>
        <v>3.3599539672469125E-3</v>
      </c>
    </row>
    <row r="16" spans="1:23" x14ac:dyDescent="0.25">
      <c r="D16" s="1">
        <v>5.4634901830000002</v>
      </c>
      <c r="E16" s="1">
        <v>6.00313871</v>
      </c>
      <c r="F16" s="3">
        <f t="shared" si="3"/>
        <v>1.149453793879593</v>
      </c>
      <c r="G16" s="2"/>
      <c r="H16" s="6">
        <f t="shared" si="0"/>
        <v>2.6631764344471565</v>
      </c>
      <c r="I16" s="2">
        <f t="shared" si="4"/>
        <v>0.98978603954098288</v>
      </c>
      <c r="J16" s="2">
        <f t="shared" si="1"/>
        <v>5.7390773347798785</v>
      </c>
      <c r="K16" s="2">
        <f t="shared" si="5"/>
        <v>0.26406137522012152</v>
      </c>
      <c r="L16" s="2"/>
      <c r="M16" s="2">
        <f t="shared" si="2"/>
        <v>1.7044797367759371E-4</v>
      </c>
      <c r="N16" s="2"/>
      <c r="P16" s="3">
        <f t="shared" si="6"/>
        <v>2.6631764344471565</v>
      </c>
      <c r="Q16" s="1" cm="1">
        <f t="array" ref="Q16">lmb_1_0(P16)</f>
        <v>0.98978603954098288</v>
      </c>
      <c r="R16" s="3">
        <f t="shared" si="7"/>
        <v>1.0988834566442283</v>
      </c>
      <c r="T16" s="20">
        <f t="shared" ref="T16:T31" si="9">ABS(R16-F16)</f>
        <v>5.0570337235364748E-2</v>
      </c>
      <c r="V16" s="3">
        <f t="shared" si="8"/>
        <v>4.2581485077604585E-3</v>
      </c>
    </row>
    <row r="17" spans="4:22" x14ac:dyDescent="0.25">
      <c r="D17" s="1">
        <v>11.10058999</v>
      </c>
      <c r="E17" s="1">
        <v>13.90731345</v>
      </c>
      <c r="F17" s="3">
        <f t="shared" si="3"/>
        <v>1.3106311567168094</v>
      </c>
      <c r="G17" s="2"/>
      <c r="H17" s="6">
        <f t="shared" si="0"/>
        <v>1.1613111059334416</v>
      </c>
      <c r="I17" s="2">
        <f t="shared" si="4"/>
        <v>0.62290726085033943</v>
      </c>
      <c r="J17" s="2">
        <f t="shared" si="1"/>
        <v>12.889837932974631</v>
      </c>
      <c r="K17" s="2">
        <f t="shared" si="5"/>
        <v>1.0174755170253693</v>
      </c>
      <c r="L17" s="2"/>
      <c r="M17" s="2">
        <f t="shared" si="2"/>
        <v>6.5676640515474019E-4</v>
      </c>
      <c r="N17" s="2"/>
      <c r="P17" s="3">
        <f t="shared" si="6"/>
        <v>1.1613111059334416</v>
      </c>
      <c r="Q17" s="1" cm="1">
        <f t="array" ref="Q17">lmb_1_0(P17)</f>
        <v>0.62290726085033943</v>
      </c>
      <c r="R17" s="3">
        <f t="shared" si="7"/>
        <v>1.2147338124334308</v>
      </c>
      <c r="T17" s="20">
        <f t="shared" si="9"/>
        <v>9.5897344283378594E-2</v>
      </c>
      <c r="V17" s="3">
        <f t="shared" si="8"/>
        <v>8.0747955379047061E-3</v>
      </c>
    </row>
    <row r="18" spans="4:22" x14ac:dyDescent="0.25">
      <c r="D18" s="1">
        <v>22.92882827</v>
      </c>
      <c r="E18" s="1">
        <v>32.21870706</v>
      </c>
      <c r="F18" s="3">
        <f t="shared" si="3"/>
        <v>1.4699736615323784</v>
      </c>
      <c r="G18" s="2"/>
      <c r="H18" s="6">
        <f t="shared" si="0"/>
        <v>0.2035256420551721</v>
      </c>
      <c r="I18" s="2">
        <f t="shared" si="4"/>
        <v>0.1714573652946462</v>
      </c>
      <c r="J18" s="2">
        <f t="shared" si="1"/>
        <v>32.219087357951217</v>
      </c>
      <c r="K18" s="2">
        <f t="shared" si="5"/>
        <v>3.8029795121730103E-4</v>
      </c>
      <c r="L18" s="2"/>
      <c r="M18" s="2">
        <f t="shared" si="2"/>
        <v>2.4547707942782077E-7</v>
      </c>
      <c r="N18" s="2"/>
      <c r="P18" s="3">
        <f t="shared" si="6"/>
        <v>0.2035256420551721</v>
      </c>
      <c r="Q18" s="1" cm="1">
        <f t="array" ref="Q18">lmb_1_0(P18)</f>
        <v>0.1714573652946462</v>
      </c>
      <c r="R18" s="3">
        <f t="shared" si="7"/>
        <v>1.4699788905277105</v>
      </c>
      <c r="T18" s="20">
        <f t="shared" si="9"/>
        <v>5.2289953320627802E-6</v>
      </c>
      <c r="V18" s="3">
        <f t="shared" si="8"/>
        <v>4.4029444705262173E-7</v>
      </c>
    </row>
    <row r="19" spans="4:22" x14ac:dyDescent="0.25">
      <c r="D19" s="1">
        <v>55.84916784</v>
      </c>
      <c r="E19" s="1">
        <v>93.383526459999999</v>
      </c>
      <c r="F19" s="3">
        <f t="shared" si="3"/>
        <v>1.749189535458229</v>
      </c>
      <c r="G19" s="2"/>
      <c r="H19" s="6">
        <f t="shared" si="0"/>
        <v>1.5980996797768214E-3</v>
      </c>
      <c r="I19" s="2">
        <f t="shared" si="4"/>
        <v>1.5955518619853422E-3</v>
      </c>
      <c r="J19" s="2">
        <f t="shared" si="1"/>
        <v>95.516226299491066</v>
      </c>
      <c r="K19" s="2">
        <f t="shared" si="5"/>
        <v>2.1326998394910675</v>
      </c>
      <c r="L19" s="2"/>
      <c r="M19" s="2">
        <f t="shared" si="2"/>
        <v>1.3766283152950949E-3</v>
      </c>
      <c r="N19" s="2"/>
      <c r="P19" s="3">
        <f t="shared" si="6"/>
        <v>1.5980996797768214E-3</v>
      </c>
      <c r="Q19" s="1" cm="1">
        <f t="array" ref="Q19">lmb_1_0(P19)</f>
        <v>1.5955518619853422E-3</v>
      </c>
      <c r="R19" s="3">
        <f t="shared" si="7"/>
        <v>1.7891229007742437</v>
      </c>
      <c r="T19" s="20">
        <f t="shared" si="9"/>
        <v>3.9933365316014768E-2</v>
      </c>
      <c r="V19" s="3">
        <f t="shared" si="8"/>
        <v>3.3624889456210297E-3</v>
      </c>
    </row>
    <row r="20" spans="4:22" x14ac:dyDescent="0.25">
      <c r="D20" s="1">
        <v>115.3592718</v>
      </c>
      <c r="E20" s="1">
        <v>189.83591430000001</v>
      </c>
      <c r="F20" s="3">
        <f t="shared" si="3"/>
        <v>1.7215085305705637</v>
      </c>
      <c r="G20" s="2"/>
      <c r="H20" s="6">
        <f t="shared" si="0"/>
        <v>2.5024613086920615E-7</v>
      </c>
      <c r="I20" s="2">
        <f t="shared" si="4"/>
        <v>2.5024606824610361E-7</v>
      </c>
      <c r="J20" s="2">
        <f t="shared" si="1"/>
        <v>189.83438233464636</v>
      </c>
      <c r="K20" s="2">
        <f t="shared" si="5"/>
        <v>1.5319653536494116E-3</v>
      </c>
      <c r="L20" s="2"/>
      <c r="M20" s="2">
        <f t="shared" si="2"/>
        <v>9.8886249477474914E-7</v>
      </c>
      <c r="N20" s="2"/>
      <c r="P20" s="3">
        <f t="shared" si="6"/>
        <v>2.5024613086920615E-7</v>
      </c>
      <c r="Q20" s="1" cm="1">
        <f t="array" ref="Q20">lmb_1_0(P20)</f>
        <v>2.5024606824610361E-7</v>
      </c>
      <c r="R20" s="3">
        <f t="shared" si="7"/>
        <v>1.721480442066559</v>
      </c>
      <c r="T20" s="20">
        <f t="shared" si="9"/>
        <v>2.8088504004708525E-5</v>
      </c>
      <c r="V20" s="3">
        <f t="shared" si="8"/>
        <v>2.3651220844386878E-6</v>
      </c>
    </row>
    <row r="21" spans="4:22" x14ac:dyDescent="0.25">
      <c r="D21" s="1">
        <v>246.26807439999999</v>
      </c>
      <c r="E21" s="1">
        <v>326.22220099999998</v>
      </c>
      <c r="F21" s="3">
        <f t="shared" si="3"/>
        <v>1.3857621838455767</v>
      </c>
      <c r="G21" s="2"/>
      <c r="H21" s="6">
        <f t="shared" si="0"/>
        <v>1.0658733128740247E-15</v>
      </c>
      <c r="I21" s="2">
        <f t="shared" si="4"/>
        <v>1.0658733128740235E-15</v>
      </c>
      <c r="J21" s="2">
        <f t="shared" si="1"/>
        <v>319.75183613963048</v>
      </c>
      <c r="K21" s="2">
        <f t="shared" si="5"/>
        <v>6.4703648603695001</v>
      </c>
      <c r="L21" s="2"/>
      <c r="M21" s="2">
        <f t="shared" si="2"/>
        <v>4.1765312268230957E-3</v>
      </c>
      <c r="N21" s="2"/>
      <c r="P21" s="3">
        <f t="shared" si="6"/>
        <v>1.0658733128740247E-15</v>
      </c>
      <c r="Q21" s="1" cm="1">
        <f t="array" ref="Q21">lmb_1_0(P21)</f>
        <v>1.0658733128740235E-15</v>
      </c>
      <c r="R21" s="3">
        <f t="shared" si="7"/>
        <v>1.3582654627036945</v>
      </c>
      <c r="T21" s="20">
        <f t="shared" si="9"/>
        <v>2.7496721141882174E-2</v>
      </c>
      <c r="V21" s="3">
        <f t="shared" si="8"/>
        <v>2.3152924915978467E-3</v>
      </c>
    </row>
    <row r="22" spans="4:22" x14ac:dyDescent="0.25">
      <c r="D22" s="1">
        <v>590.04217449999999</v>
      </c>
      <c r="E22" s="1">
        <v>415.83296890000003</v>
      </c>
      <c r="F22" s="3">
        <f t="shared" si="3"/>
        <v>0.73725745172919743</v>
      </c>
      <c r="G22" s="2"/>
      <c r="H22" s="6">
        <f t="shared" si="0"/>
        <v>1.1113805066871289E-37</v>
      </c>
      <c r="I22" s="2">
        <f t="shared" si="4"/>
        <v>1.1113805066871289E-37</v>
      </c>
      <c r="J22" s="2">
        <f t="shared" si="1"/>
        <v>433.50327589127966</v>
      </c>
      <c r="K22" s="2">
        <f t="shared" si="5"/>
        <v>17.670306991279631</v>
      </c>
      <c r="L22" s="2"/>
      <c r="M22" s="2">
        <f t="shared" si="2"/>
        <v>1.1405939313971755E-2</v>
      </c>
      <c r="N22" s="2"/>
      <c r="P22" s="3">
        <f t="shared" si="6"/>
        <v>1.1113805066871289E-37</v>
      </c>
      <c r="Q22" s="1" cm="1">
        <f t="array" ref="Q22">lmb_1_0(P22)</f>
        <v>1.1113805066871289E-37</v>
      </c>
      <c r="R22" s="3">
        <f t="shared" si="7"/>
        <v>0.7685799560023443</v>
      </c>
      <c r="T22" s="20">
        <f t="shared" si="9"/>
        <v>3.1322504273146867E-2</v>
      </c>
      <c r="V22" s="3">
        <f t="shared" si="8"/>
        <v>2.6374329720061417E-3</v>
      </c>
    </row>
    <row r="23" spans="4:22" x14ac:dyDescent="0.25">
      <c r="D23" s="1">
        <v>1198.8337200000001</v>
      </c>
      <c r="E23" s="1">
        <v>456.519633</v>
      </c>
      <c r="F23" s="3">
        <f t="shared" si="3"/>
        <v>0.39836742296317984</v>
      </c>
      <c r="G23" s="2"/>
      <c r="H23" s="6">
        <f t="shared" si="0"/>
        <v>1.3124718167105268E-76</v>
      </c>
      <c r="I23" s="2">
        <f t="shared" si="4"/>
        <v>1.3124718167105268E-76</v>
      </c>
      <c r="J23" s="2">
        <f t="shared" si="1"/>
        <v>456.51911962289421</v>
      </c>
      <c r="K23" s="2">
        <f t="shared" si="5"/>
        <v>5.1337710578991391E-4</v>
      </c>
      <c r="L23" s="2"/>
      <c r="M23" s="2">
        <f t="shared" si="2"/>
        <v>3.3137783722218027E-7</v>
      </c>
      <c r="N23" s="2"/>
      <c r="P23" s="3">
        <f t="shared" si="6"/>
        <v>1.3124718167105268E-76</v>
      </c>
      <c r="Q23" s="1" cm="1">
        <f t="array" ref="Q23">lmb_1_0(P23)</f>
        <v>1.3124718167105268E-76</v>
      </c>
      <c r="R23" s="3">
        <f t="shared" si="7"/>
        <v>0.39836368991250409</v>
      </c>
      <c r="T23" s="20">
        <f t="shared" si="9"/>
        <v>3.7330506757471404E-6</v>
      </c>
      <c r="V23" s="3">
        <f t="shared" si="8"/>
        <v>3.1433217639708713E-7</v>
      </c>
    </row>
    <row r="24" spans="4:22" x14ac:dyDescent="0.25">
      <c r="D24" s="23"/>
      <c r="E24" s="23"/>
      <c r="F24" s="3"/>
      <c r="G24" s="2"/>
      <c r="H24" s="6"/>
      <c r="I24" s="2"/>
      <c r="J24" s="2"/>
      <c r="K24" s="2"/>
      <c r="L24" s="2"/>
      <c r="M24" s="2"/>
      <c r="N24" s="2"/>
      <c r="P24" s="3"/>
      <c r="R24" s="3"/>
      <c r="T24" s="20"/>
      <c r="V24" s="3"/>
    </row>
    <row r="25" spans="4:22" x14ac:dyDescent="0.25">
      <c r="D25" s="23"/>
      <c r="E25" s="23"/>
      <c r="F25" s="3"/>
      <c r="G25" s="2"/>
      <c r="H25" s="6"/>
      <c r="I25" s="2"/>
      <c r="J25" s="2"/>
      <c r="K25" s="2"/>
      <c r="L25" s="2"/>
      <c r="M25" s="2"/>
      <c r="N25" s="2"/>
      <c r="P25" s="3"/>
      <c r="R25" s="3"/>
      <c r="T25" s="20"/>
      <c r="V25" s="3"/>
    </row>
    <row r="26" spans="4:22" x14ac:dyDescent="0.25">
      <c r="F26" s="3"/>
      <c r="G26" s="2"/>
      <c r="H26" s="6"/>
      <c r="I26" s="2"/>
      <c r="J26" s="2"/>
      <c r="K26" s="2"/>
      <c r="L26" s="2"/>
      <c r="M26" s="2"/>
      <c r="N26" s="2"/>
      <c r="P26" s="3"/>
      <c r="R26" s="3"/>
      <c r="T26" s="20"/>
      <c r="V26" s="3"/>
    </row>
    <row r="27" spans="4:22" x14ac:dyDescent="0.25">
      <c r="F27" s="3"/>
      <c r="G27" s="2"/>
      <c r="H27" s="6"/>
      <c r="I27" s="2"/>
      <c r="J27" s="2"/>
      <c r="K27" s="2"/>
      <c r="L27" s="2"/>
      <c r="M27" s="2"/>
      <c r="N27" s="2"/>
      <c r="P27" s="3"/>
      <c r="R27" s="3"/>
      <c r="T27" s="20"/>
      <c r="V27" s="3"/>
    </row>
    <row r="28" spans="4:22" x14ac:dyDescent="0.25">
      <c r="F28" s="3"/>
      <c r="G28" s="2"/>
      <c r="H28" s="6"/>
      <c r="I28" s="2"/>
      <c r="J28" s="2"/>
      <c r="K28" s="2"/>
      <c r="L28" s="2"/>
      <c r="M28" s="2"/>
      <c r="N28" s="2"/>
      <c r="P28" s="3"/>
      <c r="R28" s="3"/>
      <c r="T28" s="20"/>
      <c r="V28" s="3"/>
    </row>
    <row r="29" spans="4:22" x14ac:dyDescent="0.25">
      <c r="F29" s="3"/>
      <c r="G29" s="2"/>
      <c r="H29" s="6"/>
      <c r="I29" s="2"/>
      <c r="J29" s="2"/>
      <c r="K29" s="2"/>
      <c r="L29" s="2"/>
      <c r="M29" s="2"/>
      <c r="N29" s="2"/>
      <c r="P29" s="3"/>
      <c r="R29" s="3"/>
      <c r="T29" s="20"/>
      <c r="V29" s="3"/>
    </row>
    <row r="30" spans="4:22" x14ac:dyDescent="0.25">
      <c r="F30" s="3"/>
      <c r="G30" s="2"/>
      <c r="H30" s="6"/>
      <c r="I30" s="2"/>
      <c r="J30" s="2"/>
      <c r="K30" s="2"/>
      <c r="L30" s="2"/>
      <c r="M30" s="2"/>
      <c r="N30" s="2"/>
      <c r="P30" s="3"/>
      <c r="R30" s="3"/>
      <c r="T30" s="20"/>
      <c r="V30" s="3"/>
    </row>
    <row r="31" spans="4:22" x14ac:dyDescent="0.25">
      <c r="D31" s="17"/>
      <c r="E31" s="17"/>
      <c r="F31" s="3"/>
      <c r="H31" s="6"/>
      <c r="I31" s="2"/>
      <c r="J31" s="2"/>
      <c r="K31" s="2"/>
      <c r="L31" s="2"/>
      <c r="M31" s="2"/>
      <c r="P31" s="3"/>
      <c r="R31" s="3"/>
      <c r="T31" s="20"/>
      <c r="V31" s="3"/>
    </row>
    <row r="32" spans="4:22" x14ac:dyDescent="0.25">
      <c r="D32" s="15"/>
      <c r="E32" s="16"/>
      <c r="F32" s="18"/>
      <c r="H32" s="6"/>
      <c r="I32" s="2"/>
      <c r="J32" s="2"/>
      <c r="K32" s="2"/>
      <c r="L32" s="2"/>
      <c r="M32" s="2"/>
    </row>
    <row r="33" spans="4:13" x14ac:dyDescent="0.25">
      <c r="D33" s="15"/>
      <c r="E33" s="16"/>
      <c r="F33" s="18"/>
      <c r="H33" s="6"/>
      <c r="I33" s="2"/>
      <c r="J33" s="2"/>
      <c r="K33" s="2"/>
      <c r="L33" s="2"/>
      <c r="M33" s="2"/>
    </row>
    <row r="34" spans="4:13" x14ac:dyDescent="0.25">
      <c r="D34" s="15"/>
      <c r="E34" s="16"/>
      <c r="F34" s="18"/>
      <c r="H34" s="6"/>
      <c r="I34" s="2"/>
      <c r="J34" s="2"/>
      <c r="K34" s="2"/>
      <c r="L34" s="2"/>
      <c r="M34" s="2"/>
    </row>
    <row r="35" spans="4:13" x14ac:dyDescent="0.25">
      <c r="D35" s="15"/>
      <c r="E35" s="16"/>
      <c r="F35" s="18"/>
      <c r="H35" s="6"/>
      <c r="I35" s="2"/>
      <c r="J35" s="2"/>
      <c r="K35" s="2"/>
      <c r="L35" s="2"/>
      <c r="M35" s="2"/>
    </row>
    <row r="36" spans="4:13" x14ac:dyDescent="0.25">
      <c r="D36" s="15"/>
      <c r="E36" s="16"/>
      <c r="F36" s="18"/>
      <c r="H36" s="6"/>
      <c r="I36" s="2"/>
      <c r="J36" s="2"/>
      <c r="K36" s="2"/>
      <c r="L36" s="2"/>
      <c r="M36" s="2"/>
    </row>
    <row r="37" spans="4:13" x14ac:dyDescent="0.25">
      <c r="D37" s="15"/>
      <c r="E37" s="16"/>
      <c r="F37" s="18"/>
      <c r="H37" s="6"/>
      <c r="I37" s="2"/>
      <c r="J37" s="2"/>
      <c r="K37" s="2"/>
      <c r="L37" s="2"/>
      <c r="M37" s="2"/>
    </row>
    <row r="38" spans="4:13" x14ac:dyDescent="0.25">
      <c r="D38" s="15"/>
      <c r="E38" s="16"/>
      <c r="F38" s="18"/>
      <c r="H38" s="6"/>
      <c r="I38" s="2"/>
      <c r="J38" s="2"/>
      <c r="K38" s="2"/>
      <c r="L38" s="2"/>
      <c r="M38" s="2"/>
    </row>
    <row r="39" spans="4:13" x14ac:dyDescent="0.25">
      <c r="D39" s="15"/>
      <c r="E39" s="16"/>
      <c r="F39" s="18"/>
      <c r="H39" s="6"/>
      <c r="I39" s="2"/>
      <c r="J39" s="2"/>
      <c r="K39" s="2"/>
      <c r="L39" s="2"/>
      <c r="M39" s="2"/>
    </row>
    <row r="40" spans="4:13" x14ac:dyDescent="0.25">
      <c r="D40" s="15"/>
      <c r="E40" s="16"/>
      <c r="F40" s="18"/>
      <c r="H40" s="6"/>
      <c r="I40" s="2"/>
      <c r="J40" s="2"/>
      <c r="K40" s="2"/>
      <c r="L40" s="2"/>
      <c r="M40" s="2"/>
    </row>
    <row r="41" spans="4:13" x14ac:dyDescent="0.25">
      <c r="D41" s="15"/>
      <c r="E41" s="16"/>
      <c r="F41" s="18"/>
      <c r="H41" s="6"/>
      <c r="I41" s="2"/>
      <c r="J41" s="2"/>
      <c r="K41" s="2"/>
      <c r="L41" s="2"/>
      <c r="M41" s="2"/>
    </row>
    <row r="42" spans="4:13" x14ac:dyDescent="0.25">
      <c r="D42" s="15"/>
      <c r="E42" s="16"/>
      <c r="F42" s="18"/>
      <c r="H42" s="6"/>
      <c r="I42" s="2"/>
      <c r="J42" s="2"/>
      <c r="K42" s="2"/>
      <c r="L42" s="2"/>
      <c r="M42" s="2"/>
    </row>
    <row r="43" spans="4:13" x14ac:dyDescent="0.25">
      <c r="D43" s="2"/>
      <c r="E43" s="2"/>
      <c r="F43" s="2"/>
    </row>
    <row r="44" spans="4:13" x14ac:dyDescent="0.25">
      <c r="D44" s="2"/>
      <c r="E44" s="2"/>
      <c r="F44" s="2"/>
    </row>
    <row r="45" spans="4:13" x14ac:dyDescent="0.25">
      <c r="D45" s="2"/>
      <c r="E45" s="2"/>
      <c r="F45" s="2"/>
    </row>
    <row r="46" spans="4:13" x14ac:dyDescent="0.25">
      <c r="D46" s="2"/>
      <c r="E46" s="2"/>
      <c r="F46" s="2"/>
    </row>
    <row r="47" spans="4:13" x14ac:dyDescent="0.25">
      <c r="D47" s="2"/>
      <c r="E47" s="2"/>
      <c r="F47" s="2"/>
    </row>
    <row r="48" spans="4:13" x14ac:dyDescent="0.25">
      <c r="D48" s="2"/>
      <c r="E48" s="2"/>
      <c r="F48" s="2"/>
    </row>
    <row r="49" spans="4:6" x14ac:dyDescent="0.25">
      <c r="D49" s="2"/>
      <c r="E49" s="2"/>
      <c r="F49" s="2"/>
    </row>
    <row r="50" spans="4:6" x14ac:dyDescent="0.25">
      <c r="D50" s="2"/>
      <c r="E50" s="2"/>
      <c r="F50" s="2"/>
    </row>
    <row r="51" spans="4:6" x14ac:dyDescent="0.25">
      <c r="D51" s="2"/>
      <c r="E51" s="2"/>
      <c r="F51" s="2"/>
    </row>
    <row r="52" spans="4:6" x14ac:dyDescent="0.25">
      <c r="D52" s="2"/>
      <c r="E52" s="2"/>
      <c r="F52" s="2"/>
    </row>
    <row r="53" spans="4:6" x14ac:dyDescent="0.25">
      <c r="D53" s="2"/>
      <c r="E53" s="2"/>
      <c r="F53" s="2"/>
    </row>
    <row r="54" spans="4:6" x14ac:dyDescent="0.25">
      <c r="D54" s="2"/>
      <c r="E54" s="2"/>
      <c r="F54" s="2"/>
    </row>
    <row r="55" spans="4:6" x14ac:dyDescent="0.25">
      <c r="D55" s="2"/>
      <c r="E55" s="2"/>
      <c r="F55" s="2"/>
    </row>
    <row r="56" spans="4:6" x14ac:dyDescent="0.25">
      <c r="D56" s="2"/>
      <c r="E56" s="2"/>
      <c r="F56" s="2"/>
    </row>
    <row r="57" spans="4:6" x14ac:dyDescent="0.25">
      <c r="D57" s="2"/>
      <c r="E57" s="2"/>
      <c r="F57" s="2"/>
    </row>
    <row r="58" spans="4:6" x14ac:dyDescent="0.25">
      <c r="D58" s="2"/>
      <c r="E58" s="2"/>
      <c r="F58" s="2"/>
    </row>
    <row r="59" spans="4:6" x14ac:dyDescent="0.25">
      <c r="D59" s="2"/>
      <c r="E59" s="2"/>
      <c r="F59" s="2"/>
    </row>
    <row r="60" spans="4:6" x14ac:dyDescent="0.25">
      <c r="D60" s="2"/>
      <c r="E60" s="2"/>
      <c r="F60" s="2"/>
    </row>
    <row r="61" spans="4:6" x14ac:dyDescent="0.25">
      <c r="D61" s="2"/>
      <c r="E61" s="2"/>
      <c r="F61" s="2"/>
    </row>
    <row r="62" spans="4:6" x14ac:dyDescent="0.25">
      <c r="D62" s="2"/>
      <c r="E62" s="2"/>
      <c r="F62" s="2"/>
    </row>
    <row r="63" spans="4:6" x14ac:dyDescent="0.25">
      <c r="D63" s="2"/>
      <c r="E63" s="2"/>
      <c r="F63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6119-46B9-4DCC-BFD8-D99339322021}">
  <dimension ref="B3:K31"/>
  <sheetViews>
    <sheetView workbookViewId="0">
      <selection activeCell="F1" sqref="F1"/>
    </sheetView>
  </sheetViews>
  <sheetFormatPr defaultRowHeight="15" x14ac:dyDescent="0.25"/>
  <sheetData>
    <row r="3" spans="2:11" x14ac:dyDescent="0.25">
      <c r="B3" s="1" t="s">
        <v>12</v>
      </c>
      <c r="C3" s="8" t="s">
        <v>2</v>
      </c>
    </row>
    <row r="4" spans="2:11" x14ac:dyDescent="0.25">
      <c r="B4" s="1"/>
      <c r="C4" s="7">
        <v>8.0473085052548292</v>
      </c>
    </row>
    <row r="5" spans="2:11" x14ac:dyDescent="0.25">
      <c r="B5" s="1"/>
      <c r="C5" s="9" t="s">
        <v>3</v>
      </c>
    </row>
    <row r="6" spans="2:11" x14ac:dyDescent="0.25">
      <c r="B6" s="1"/>
      <c r="C6" s="7">
        <v>3.3962306203712753E-2</v>
      </c>
    </row>
    <row r="7" spans="2:11" x14ac:dyDescent="0.25">
      <c r="B7" s="1"/>
      <c r="C7" s="10" t="s">
        <v>4</v>
      </c>
    </row>
    <row r="8" spans="2:11" x14ac:dyDescent="0.25">
      <c r="B8" s="1">
        <v>0.1</v>
      </c>
      <c r="C8" s="6">
        <v>0.44355813750560624</v>
      </c>
    </row>
    <row r="9" spans="2:11" x14ac:dyDescent="0.25">
      <c r="B9" s="1"/>
      <c r="C9" s="11" t="s">
        <v>5</v>
      </c>
    </row>
    <row r="10" spans="2:11" x14ac:dyDescent="0.25">
      <c r="B10" s="1">
        <v>1000000</v>
      </c>
      <c r="C10" s="6">
        <v>1.7366282442655625</v>
      </c>
    </row>
    <row r="13" spans="2:11" x14ac:dyDescent="0.25">
      <c r="F13" s="21" t="s">
        <v>21</v>
      </c>
      <c r="G13" s="21" t="s">
        <v>5</v>
      </c>
      <c r="H13" s="22"/>
      <c r="I13" s="21" t="s">
        <v>0</v>
      </c>
      <c r="J13" s="22"/>
      <c r="K13" s="21" t="s">
        <v>22</v>
      </c>
    </row>
    <row r="14" spans="2:11" x14ac:dyDescent="0.25">
      <c r="F14" s="17">
        <v>5.3259478999999998E-2</v>
      </c>
      <c r="G14" s="17">
        <v>6569.2871869999999</v>
      </c>
      <c r="I14">
        <v>6.9877542078946071</v>
      </c>
      <c r="K14" s="3">
        <f>1+F14/($C$8*$B$8)*((1-C$6)*(I14-C$6)-C$6)/(1+I14)^2</f>
        <v>1.125779975919003</v>
      </c>
    </row>
    <row r="15" spans="2:11" x14ac:dyDescent="0.25">
      <c r="F15" s="17">
        <v>0.10453646799999999</v>
      </c>
      <c r="G15" s="17">
        <v>15222.351699999999</v>
      </c>
      <c r="I15">
        <v>5.9863876478295914</v>
      </c>
      <c r="K15" s="3">
        <f t="shared" ref="K15:K31" si="0">1+F15/($C$8*$B$8)*((1-C$6)*(I15-C$6)-C$6)/(1+I15)^2</f>
        <v>1.2760115788029394</v>
      </c>
    </row>
    <row r="16" spans="2:11" x14ac:dyDescent="0.25">
      <c r="F16" s="17">
        <v>0.15863001199999999</v>
      </c>
      <c r="G16" s="17">
        <v>24783.382740000001</v>
      </c>
      <c r="I16">
        <v>4.9557837555814617</v>
      </c>
      <c r="K16" s="3">
        <f t="shared" si="0"/>
        <v>1.4759525059578509</v>
      </c>
    </row>
    <row r="17" spans="6:11" x14ac:dyDescent="0.25">
      <c r="F17" s="17">
        <v>0.210716926</v>
      </c>
      <c r="G17" s="17">
        <v>37726.136850000003</v>
      </c>
      <c r="I17">
        <v>3.9965981988277473</v>
      </c>
      <c r="K17" s="3">
        <f t="shared" si="0"/>
        <v>1.7219515062010196</v>
      </c>
    </row>
    <row r="18" spans="6:11" x14ac:dyDescent="0.25">
      <c r="F18" s="17">
        <v>0.26072637799999998</v>
      </c>
      <c r="G18" s="17">
        <v>51919.256800000003</v>
      </c>
      <c r="I18">
        <v>3.1175373320832964</v>
      </c>
      <c r="K18" s="3">
        <f t="shared" si="0"/>
        <v>2.0210053630785123</v>
      </c>
    </row>
    <row r="19" spans="6:11" x14ac:dyDescent="0.25">
      <c r="F19" s="17">
        <v>0.32260457399999998</v>
      </c>
      <c r="G19" s="17">
        <v>76420.817439999999</v>
      </c>
      <c r="I19">
        <v>2.1119348156051871</v>
      </c>
      <c r="K19" s="3">
        <f t="shared" si="0"/>
        <v>2.4821165450263858</v>
      </c>
    </row>
    <row r="20" spans="6:11" x14ac:dyDescent="0.25">
      <c r="F20" s="17">
        <v>0.36853096800000001</v>
      </c>
      <c r="G20" s="17">
        <v>98333.326239999995</v>
      </c>
      <c r="I20">
        <v>1.4515196250107858</v>
      </c>
      <c r="K20" s="3">
        <f t="shared" si="0"/>
        <v>2.8462087606458004</v>
      </c>
    </row>
    <row r="21" spans="6:11" x14ac:dyDescent="0.25">
      <c r="F21" s="17">
        <v>0.41727646600000001</v>
      </c>
      <c r="G21" s="17">
        <v>126528.9142</v>
      </c>
      <c r="I21">
        <v>0.86740949725380756</v>
      </c>
      <c r="K21" s="3">
        <f t="shared" si="0"/>
        <v>3.0804125400109772</v>
      </c>
    </row>
    <row r="22" spans="6:11" x14ac:dyDescent="0.25">
      <c r="F22" s="17">
        <v>0.48092895499999999</v>
      </c>
      <c r="G22" s="17">
        <v>186240.01269999999</v>
      </c>
      <c r="I22">
        <v>0.34740027655108141</v>
      </c>
      <c r="K22" s="3">
        <f t="shared" si="0"/>
        <v>2.6055202638012145</v>
      </c>
    </row>
    <row r="23" spans="6:11" x14ac:dyDescent="0.25">
      <c r="F23" s="17">
        <v>0.53496294300000002</v>
      </c>
      <c r="G23" s="17">
        <v>227857.97510000001</v>
      </c>
      <c r="I23">
        <v>0.12796069997397147</v>
      </c>
      <c r="K23" s="3">
        <f t="shared" si="0"/>
        <v>1.5388494428288115</v>
      </c>
    </row>
    <row r="24" spans="6:11" x14ac:dyDescent="0.25">
      <c r="F24" s="17">
        <v>0.58981105599999994</v>
      </c>
      <c r="G24" s="17">
        <v>269560.9227</v>
      </c>
      <c r="I24">
        <v>4.0551934851345409E-2</v>
      </c>
      <c r="K24" s="3">
        <f t="shared" si="0"/>
        <v>0.66108680977737855</v>
      </c>
    </row>
    <row r="25" spans="6:11" x14ac:dyDescent="0.25">
      <c r="F25" s="17">
        <v>0.63320075799999997</v>
      </c>
      <c r="G25" s="17">
        <v>377261.36849999998</v>
      </c>
      <c r="I25">
        <v>1.5631450289090194E-2</v>
      </c>
      <c r="K25" s="3">
        <f t="shared" si="0"/>
        <v>0.28490765142703189</v>
      </c>
    </row>
    <row r="26" spans="6:11" x14ac:dyDescent="0.25">
      <c r="F26" s="17">
        <v>0.83368488299999999</v>
      </c>
      <c r="G26" s="17">
        <v>469388.93400000001</v>
      </c>
      <c r="I26">
        <v>1.7287908366589311E-4</v>
      </c>
      <c r="K26" s="3">
        <f t="shared" si="0"/>
        <v>-0.25141865578452305</v>
      </c>
    </row>
    <row r="27" spans="6:11" x14ac:dyDescent="0.25">
      <c r="F27" s="17">
        <v>0.96942122500000005</v>
      </c>
      <c r="G27" s="17">
        <v>624626.54689999996</v>
      </c>
      <c r="I27">
        <v>8.1058573275404312E-6</v>
      </c>
      <c r="K27" s="3">
        <f t="shared" si="0"/>
        <v>-0.45912672156434375</v>
      </c>
    </row>
    <row r="28" spans="6:11" x14ac:dyDescent="0.25">
      <c r="F28" s="17">
        <v>1.199493981</v>
      </c>
      <c r="G28" s="17">
        <v>803728.723</v>
      </c>
      <c r="I28">
        <v>4.5302826616015705E-8</v>
      </c>
      <c r="K28" s="3">
        <f t="shared" si="0"/>
        <v>-0.80566097183191143</v>
      </c>
    </row>
    <row r="29" spans="6:11" x14ac:dyDescent="0.25">
      <c r="F29" s="17">
        <v>1.6218820519999999</v>
      </c>
      <c r="G29" s="17">
        <v>1124850.72</v>
      </c>
      <c r="I29">
        <v>3.3148190362147613E-12</v>
      </c>
      <c r="K29" s="3">
        <f t="shared" si="0"/>
        <v>-1.4415056292704116</v>
      </c>
    </row>
    <row r="30" spans="6:11" x14ac:dyDescent="0.25">
      <c r="F30" s="17">
        <v>3.240390144</v>
      </c>
      <c r="G30" s="17">
        <v>1683749.0830000001</v>
      </c>
      <c r="I30">
        <v>4.7141377879359926E-28</v>
      </c>
      <c r="K30" s="3">
        <f t="shared" si="0"/>
        <v>-3.8779322567164289</v>
      </c>
    </row>
    <row r="31" spans="6:11" x14ac:dyDescent="0.25">
      <c r="F31" s="17">
        <v>6.8280504999999998</v>
      </c>
      <c r="G31" s="17">
        <v>1712287.327</v>
      </c>
      <c r="I31">
        <v>3.5162280980687803E-63</v>
      </c>
      <c r="K31" s="3">
        <f t="shared" si="0"/>
        <v>-9.2786289009397542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TTOR</vt:lpstr>
      <vt:lpstr>f(D)</vt:lpstr>
      <vt:lpstr>TTOR and f(D)</vt:lpstr>
      <vt:lpstr>g(D)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Paul</cp:lastModifiedBy>
  <dcterms:created xsi:type="dcterms:W3CDTF">2020-08-20T13:20:07Z</dcterms:created>
  <dcterms:modified xsi:type="dcterms:W3CDTF">2021-12-06T16:23:51Z</dcterms:modified>
</cp:coreProperties>
</file>